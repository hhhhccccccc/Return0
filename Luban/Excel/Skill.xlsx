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D:\Project\Return0\Luban\Excel\"/>
    </mc:Choice>
  </mc:AlternateContent>
  <xr:revisionPtr revIDLastSave="0" documentId="13_ncr:1_{287D16B4-187A-45D5-A469-2FE1D317DC9C}" xr6:coauthVersionLast="47" xr6:coauthVersionMax="47" xr10:uidLastSave="{00000000-0000-0000-0000-000000000000}"/>
  <bookViews>
    <workbookView xWindow="-120" yWindow="-120" windowWidth="38640" windowHeight="21120" xr2:uid="{00000000-000D-0000-FFFF-FFFF00000000}"/>
  </bookViews>
  <sheets>
    <sheet name="Skill" sheetId="1" r:id="rId1"/>
    <sheet name="派系强度阶梯" sheetId="2" r:id="rId2"/>
    <sheet name="Sheet2" sheetId="3" r:id="rId3"/>
    <sheet name="Sheet1"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4" l="1" a="1"/>
  <c r="C30" i="4"/>
  <c r="C29" i="4" a="1"/>
  <c r="C29" i="4"/>
  <c r="C28" i="4" a="1"/>
  <c r="C28" i="4"/>
  <c r="C27" i="4" a="1"/>
  <c r="C27" i="4"/>
  <c r="D9" i="2"/>
  <c r="D8" i="2"/>
  <c r="L7" i="2"/>
  <c r="J7" i="2"/>
  <c r="H7" i="2"/>
  <c r="F7" i="2"/>
  <c r="D7" i="2"/>
  <c r="N6" i="2"/>
  <c r="L6" i="2"/>
  <c r="J6" i="2"/>
  <c r="H6" i="2"/>
  <c r="F6" i="2"/>
  <c r="D6" i="2"/>
  <c r="T5" i="2"/>
  <c r="R5" i="2"/>
  <c r="P5" i="2"/>
  <c r="N5" i="2"/>
  <c r="L5" i="2"/>
  <c r="J5" i="2"/>
  <c r="H5" i="2"/>
  <c r="D5" i="2"/>
  <c r="R4" i="2"/>
  <c r="P4" i="2"/>
  <c r="N4" i="2"/>
  <c r="L4" i="2"/>
  <c r="J4" i="2"/>
  <c r="H4" i="2"/>
  <c r="F4" i="2"/>
  <c r="D4" i="2"/>
  <c r="J3" i="2"/>
  <c r="H3" i="2"/>
  <c r="F3" i="2"/>
  <c r="D3" i="2"/>
  <c r="L2" i="2"/>
  <c r="J2" i="2"/>
  <c r="H2" i="2"/>
  <c r="F2" i="2"/>
  <c r="D2" i="2"/>
  <c r="R46" i="1" a="1"/>
  <c r="R342" i="1" a="1"/>
  <c r="R210" i="1" a="1"/>
  <c r="R165" i="1" a="1"/>
  <c r="R300" i="1" a="1"/>
  <c r="R227" i="1" a="1"/>
  <c r="R188" i="1" a="1"/>
  <c r="R346" i="1" a="1"/>
  <c r="R278" i="1" a="1"/>
  <c r="R88" i="1" a="1"/>
  <c r="R287" i="1" a="1"/>
  <c r="R37" i="1" a="1"/>
  <c r="R312" i="1" a="1"/>
  <c r="R42" i="1" a="1"/>
  <c r="R197" i="1" a="1"/>
  <c r="R39" i="1" a="1"/>
  <c r="R169" i="1" a="1"/>
  <c r="R264" i="1" a="1"/>
  <c r="R320" i="1" a="1"/>
  <c r="R128" i="1" a="1"/>
  <c r="R145" i="1" a="1"/>
  <c r="R44" i="1" a="1"/>
  <c r="R161" i="1" a="1"/>
  <c r="R249" i="1" a="1"/>
  <c r="R150" i="1" a="1"/>
  <c r="R341" i="1" a="1"/>
  <c r="R228" i="1" a="1"/>
  <c r="R318" i="1" a="1"/>
  <c r="R137" i="1" a="1"/>
  <c r="R329" i="1" a="1"/>
  <c r="R5" i="1" a="1"/>
  <c r="R11" i="1" a="1"/>
  <c r="R50" i="1" a="1"/>
  <c r="R133" i="1" a="1"/>
  <c r="R176" i="1" a="1"/>
  <c r="R255" i="1" a="1"/>
  <c r="R185" i="1" a="1"/>
  <c r="R51" i="1" a="1"/>
  <c r="R333" i="1" a="1"/>
  <c r="R91" i="1" a="1"/>
  <c r="R159" i="1" a="1"/>
  <c r="R319" i="1" a="1"/>
  <c r="R63" i="1" a="1"/>
  <c r="R162" i="1" a="1"/>
  <c r="R258" i="1" a="1"/>
  <c r="R138" i="1" a="1"/>
  <c r="R216" i="1" a="1"/>
  <c r="R64" i="1" a="1"/>
  <c r="R223" i="1" a="1"/>
  <c r="R304" i="1" a="1"/>
  <c r="R154" i="1" a="1"/>
  <c r="R192" i="1" a="1"/>
  <c r="R298" i="1" a="1"/>
  <c r="R268" i="1" a="1"/>
  <c r="R59" i="1" a="1"/>
  <c r="R53" i="1" a="1"/>
  <c r="R245" i="1" a="1"/>
  <c r="R211" i="1" a="1"/>
  <c r="R15" i="1" a="1"/>
  <c r="R164" i="1" a="1"/>
  <c r="R108" i="1" a="1"/>
  <c r="R309" i="1" a="1"/>
  <c r="R134" i="1" a="1"/>
  <c r="R152" i="1" a="1"/>
  <c r="R175" i="1" a="1"/>
  <c r="R23" i="1" a="1"/>
  <c r="R24" i="1" a="1"/>
  <c r="R119" i="1" a="1"/>
  <c r="R10" i="1" a="1"/>
  <c r="R267" i="1" a="1"/>
  <c r="R79" i="1" a="1"/>
  <c r="R92" i="1" a="1"/>
  <c r="R149" i="1" a="1"/>
  <c r="R172" i="1" a="1"/>
  <c r="R66" i="1" a="1"/>
  <c r="R248" i="1" a="1"/>
  <c r="R271" i="1" a="1"/>
  <c r="R316" i="1" a="1"/>
  <c r="R240" i="1" a="1"/>
  <c r="R246" i="1" a="1"/>
  <c r="R17" i="1" a="1"/>
  <c r="R285" i="1" a="1"/>
  <c r="R131" i="1" a="1"/>
  <c r="R67" i="1" a="1"/>
  <c r="R179" i="1" a="1"/>
  <c r="R186" i="1" a="1"/>
  <c r="R275" i="1" a="1"/>
  <c r="R105" i="1" a="1"/>
  <c r="R276" i="1" a="1"/>
  <c r="R343" i="1" a="1"/>
  <c r="R326" i="1" a="1"/>
  <c r="R301" i="1" a="1"/>
  <c r="R98" i="1" a="1"/>
  <c r="R311" i="1" a="1"/>
  <c r="R296" i="1" a="1"/>
  <c r="R90" i="1" a="1"/>
  <c r="R151" i="1" a="1"/>
  <c r="R288" i="1" a="1"/>
  <c r="R156" i="1" a="1"/>
  <c r="R109" i="1" a="1"/>
  <c r="R21" i="1" a="1"/>
  <c r="R118" i="1" a="1"/>
  <c r="R310" i="1" a="1"/>
  <c r="R212" i="1" a="1"/>
  <c r="R244" i="1" a="1"/>
  <c r="R48" i="1" a="1"/>
  <c r="R36" i="1" a="1"/>
  <c r="R76" i="1" a="1"/>
  <c r="R129" i="1" a="1"/>
  <c r="R297" i="1" a="1"/>
  <c r="R302" i="1" a="1"/>
  <c r="R139" i="1" a="1"/>
  <c r="R65" i="1" a="1"/>
  <c r="R308" i="1" a="1"/>
  <c r="R102" i="1" a="1"/>
  <c r="R174" i="1" a="1"/>
  <c r="R282" i="1" a="1"/>
  <c r="R233" i="1" a="1"/>
  <c r="R181" i="1" a="1"/>
  <c r="R292" i="1" a="1"/>
  <c r="R303" i="1" a="1"/>
  <c r="R280" i="1" a="1"/>
  <c r="R25" i="1" a="1"/>
  <c r="R147" i="1" a="1"/>
  <c r="R87" i="1" a="1"/>
  <c r="R77" i="1" a="1"/>
  <c r="R13" i="1" a="1"/>
  <c r="R348" i="1" a="1"/>
  <c r="R113" i="1" a="1"/>
  <c r="R231" i="1" a="1"/>
  <c r="R283" i="1" a="1"/>
  <c r="R206" i="1" a="1"/>
  <c r="R190" i="1" a="1"/>
  <c r="R81" i="1" a="1"/>
  <c r="R121" i="1" a="1"/>
  <c r="R339" i="1" a="1"/>
  <c r="R112" i="1" a="1"/>
  <c r="R170" i="1" a="1"/>
  <c r="R327" i="1" a="1"/>
  <c r="R22" i="1" a="1"/>
  <c r="R93" i="1" a="1"/>
  <c r="R345" i="1" a="1"/>
  <c r="R136" i="1" a="1"/>
  <c r="R153" i="1" a="1"/>
  <c r="R163" i="1" a="1"/>
  <c r="R28" i="1" a="1"/>
  <c r="R208" i="1" a="1"/>
  <c r="R281" i="1" a="1"/>
  <c r="R33" i="1" a="1"/>
  <c r="R256" i="1" a="1"/>
  <c r="R100" i="1" a="1"/>
  <c r="R184" i="1" a="1"/>
  <c r="R99" i="1" a="1"/>
  <c r="R58" i="1" a="1"/>
  <c r="R349" i="1" a="1"/>
  <c r="R279" i="1" a="1"/>
  <c r="R204" i="1" a="1"/>
  <c r="R135" i="1" a="1"/>
  <c r="R219" i="1" a="1"/>
  <c r="R195" i="1" a="1"/>
  <c r="R101" i="1" a="1"/>
  <c r="R257" i="1" a="1"/>
  <c r="R209" i="1" a="1"/>
  <c r="R106" i="1" a="1"/>
  <c r="R265" i="1" a="1"/>
  <c r="R146" i="1" a="1"/>
  <c r="R140" i="1" a="1"/>
  <c r="R324" i="1" a="1"/>
  <c r="R14" i="1" a="1"/>
  <c r="R18" i="1" a="1"/>
  <c r="R31" i="1" a="1"/>
  <c r="R122" i="1" a="1"/>
  <c r="R97" i="1" a="1"/>
  <c r="R289" i="1" a="1"/>
  <c r="R237" i="1" a="1"/>
  <c r="R78" i="1" a="1"/>
  <c r="R132" i="1" a="1"/>
  <c r="R75" i="1" a="1"/>
  <c r="R290" i="1" a="1"/>
  <c r="R45" i="1" a="1"/>
  <c r="R334" i="1" a="1"/>
  <c r="R323" i="1" a="1"/>
  <c r="R141" i="1" a="1"/>
  <c r="R217" i="1" a="1"/>
  <c r="R325" i="1" a="1"/>
  <c r="R155" i="1" a="1"/>
  <c r="R299" i="1" a="1"/>
  <c r="R293" i="1" a="1"/>
  <c r="R294" i="1" a="1"/>
  <c r="R198" i="1" a="1"/>
  <c r="R314" i="1" a="1"/>
  <c r="R332" i="1" a="1"/>
  <c r="R178" i="1" a="1"/>
  <c r="R213" i="1" a="1"/>
  <c r="R236" i="1" a="1"/>
  <c r="R221" i="1" a="1"/>
  <c r="R115" i="1" a="1"/>
  <c r="R104" i="1" a="1"/>
  <c r="R347" i="1" a="1"/>
  <c r="R85" i="1" a="1"/>
  <c r="R41" i="1" a="1"/>
  <c r="R340" i="1" a="1"/>
  <c r="R335" i="1" a="1"/>
  <c r="R7" i="1" a="1"/>
  <c r="R96" i="1" a="1"/>
  <c r="R183" i="1" a="1"/>
  <c r="R177" i="1" a="1"/>
  <c r="R207" i="1" a="1"/>
  <c r="R238" i="1" a="1"/>
  <c r="R126" i="1" a="1"/>
  <c r="R49" i="1" a="1"/>
  <c r="R6" i="1" a="1"/>
  <c r="R54" i="1" a="1"/>
  <c r="R34" i="1" a="1"/>
  <c r="R16" i="1" a="1"/>
  <c r="R270" i="1" a="1"/>
  <c r="R224" i="1" a="1"/>
  <c r="R95" i="1" a="1"/>
  <c r="R32" i="1" a="1"/>
  <c r="R215" i="1" a="1"/>
  <c r="R116" i="1" a="1"/>
  <c r="R247" i="1" a="1"/>
  <c r="R313" i="1" a="1"/>
  <c r="R344" i="1" a="1"/>
  <c r="R235" i="1" a="1"/>
  <c r="R306" i="1" a="1"/>
  <c r="R337" i="1" a="1"/>
  <c r="R241" i="1" a="1"/>
  <c r="R166" i="1" a="1"/>
  <c r="R27" i="1" a="1"/>
  <c r="R180" i="1" a="1"/>
  <c r="R336" i="1" a="1"/>
  <c r="R73" i="1" a="1"/>
  <c r="R47" i="1" a="1"/>
  <c r="R230" i="1" a="1"/>
  <c r="R8" i="1" a="1"/>
  <c r="R171" i="1" a="1"/>
  <c r="R196" i="1" a="1"/>
  <c r="R157" i="1" a="1"/>
  <c r="R295" i="1" a="1"/>
  <c r="R274" i="1" a="1"/>
  <c r="R251" i="1" a="1"/>
  <c r="R56" i="1" a="1"/>
  <c r="R55" i="1" a="1"/>
  <c r="R330" i="1" a="1"/>
  <c r="R82" i="1" a="1"/>
  <c r="R29" i="1" a="1"/>
  <c r="R38" i="1" a="1"/>
  <c r="R30" i="1" a="1"/>
  <c r="R160" i="1" a="1"/>
  <c r="R321" i="1" a="1"/>
  <c r="R214" i="1" a="1"/>
  <c r="R94" i="1" a="1"/>
  <c r="R84" i="1" a="1"/>
  <c r="R200" i="1" a="1"/>
  <c r="R57" i="1" a="1"/>
  <c r="R111" i="1" a="1"/>
  <c r="R74" i="1" a="1"/>
  <c r="R189" i="1" a="1"/>
  <c r="R201" i="1" a="1"/>
  <c r="R110" i="1" a="1"/>
  <c r="R12" i="1" a="1"/>
  <c r="R305" i="1" a="1"/>
  <c r="R89" i="1" a="1"/>
  <c r="R83" i="1" a="1"/>
  <c r="R243" i="1" a="1"/>
  <c r="R328" i="1" a="1"/>
  <c r="R253" i="1" a="1"/>
  <c r="R173" i="1" a="1"/>
  <c r="R70" i="1" a="1"/>
  <c r="R69" i="1" a="1"/>
  <c r="R68" i="1" a="1"/>
  <c r="R124" i="1" a="1"/>
  <c r="R120" i="1" a="1"/>
  <c r="R350" i="1" a="1"/>
  <c r="R229" i="1" a="1"/>
  <c r="R205" i="1" a="1"/>
  <c r="R72" i="1" a="1"/>
  <c r="R26" i="1" a="1"/>
  <c r="R71" i="1" a="1"/>
  <c r="R254" i="1" a="1"/>
  <c r="R125" i="1" a="1"/>
  <c r="R331" i="1" a="1"/>
  <c r="R19" i="1" a="1"/>
  <c r="R272" i="1" a="1"/>
  <c r="R232" i="1" a="1"/>
  <c r="R182" i="1" a="1"/>
  <c r="R252" i="1" a="1"/>
  <c r="R127" i="1" a="1"/>
  <c r="R194" i="1" a="1"/>
  <c r="R191" i="1" a="1"/>
  <c r="R338" i="1" a="1"/>
  <c r="R286" i="1" a="1"/>
  <c r="R218" i="1" a="1"/>
  <c r="R20" i="1" a="1"/>
  <c r="R107" i="1" a="1"/>
  <c r="R130" i="1" a="1"/>
  <c r="R123" i="1" a="1"/>
  <c r="R269" i="1" a="1"/>
  <c r="R239" i="1" a="1"/>
  <c r="R187" i="1" a="1"/>
  <c r="R168" i="1" a="1"/>
  <c r="R315" i="1" a="1"/>
  <c r="R199" i="1" a="1"/>
  <c r="R9" i="1" a="1"/>
  <c r="R291" i="1" a="1"/>
  <c r="R273" i="1" a="1"/>
  <c r="R322" i="1" a="1"/>
  <c r="R167" i="1" a="1"/>
  <c r="R277" i="1" a="1"/>
  <c r="R203" i="1" a="1"/>
  <c r="R103" i="1" a="1"/>
  <c r="R43" i="1" a="1"/>
  <c r="R284" i="1" a="1"/>
  <c r="R225" i="1" a="1"/>
  <c r="R220" i="1" a="1"/>
  <c r="R202" i="1" a="1"/>
  <c r="R114" i="1" a="1"/>
  <c r="R117" i="1" a="1"/>
  <c r="R193" i="1" a="1"/>
  <c r="R40" i="1" a="1"/>
  <c r="R242" i="1" a="1"/>
  <c r="R307" i="1" a="1"/>
  <c r="R4" i="1" a="1"/>
  <c r="R158" i="1" a="1"/>
  <c r="R148" i="1" a="1"/>
  <c r="R35" i="1" a="1"/>
  <c r="R226" i="1" a="1"/>
  <c r="R52" i="1" a="1"/>
  <c r="R317" i="1" a="1"/>
  <c r="R266" i="1" a="1"/>
  <c r="R234" i="1" a="1"/>
  <c r="R250" i="1" a="1"/>
  <c r="R80" i="1" a="1"/>
  <c r="R222" i="1" a="1"/>
  <c r="R144" i="1" a="1"/>
  <c r="R42" i="1" l="1"/>
  <c r="R256" i="1"/>
  <c r="R31" i="1"/>
  <c r="R13" i="1"/>
  <c r="R347" i="1"/>
  <c r="R184" i="1"/>
  <c r="R291" i="1"/>
  <c r="R330" i="1"/>
  <c r="R71" i="1"/>
  <c r="R275" i="1"/>
  <c r="R41" i="1"/>
  <c r="R318" i="1"/>
  <c r="R315" i="1"/>
  <c r="R282" i="1"/>
  <c r="R289" i="1"/>
  <c r="R32" i="1"/>
  <c r="R200" i="1"/>
  <c r="R335" i="1"/>
  <c r="R145" i="1"/>
  <c r="R112" i="1"/>
  <c r="R48" i="1"/>
  <c r="R152" i="1"/>
  <c r="R92" i="1"/>
  <c r="R126" i="1"/>
  <c r="R123" i="1"/>
  <c r="R232" i="1"/>
  <c r="R303" i="1"/>
  <c r="R138" i="1"/>
  <c r="R79" i="1"/>
  <c r="R63" i="1"/>
  <c r="R64" i="1"/>
  <c r="R100" i="1"/>
  <c r="R58" i="1"/>
  <c r="R45" i="1"/>
  <c r="R323" i="1"/>
  <c r="R309" i="1"/>
  <c r="R9" i="1"/>
  <c r="R134" i="1"/>
  <c r="R174" i="1"/>
  <c r="R43" i="1"/>
  <c r="R280" i="1"/>
  <c r="R181" i="1"/>
  <c r="R82" i="1"/>
  <c r="R188" i="1"/>
  <c r="R194" i="1"/>
  <c r="R195" i="1"/>
  <c r="R4" i="1"/>
  <c r="R206" i="1"/>
  <c r="R78" i="1"/>
  <c r="R312" i="1"/>
  <c r="R245" i="1"/>
  <c r="R149" i="1"/>
  <c r="R220" i="1"/>
  <c r="R226" i="1"/>
  <c r="R296" i="1"/>
  <c r="R319" i="1"/>
  <c r="R36" i="1"/>
  <c r="R238" i="1"/>
  <c r="R111" i="1"/>
  <c r="R344" i="1"/>
  <c r="R314" i="1"/>
  <c r="R213" i="1"/>
  <c r="R252" i="1"/>
  <c r="R258" i="1"/>
  <c r="R65" i="1"/>
  <c r="R163" i="1"/>
  <c r="R264" i="1"/>
  <c r="R328" i="1"/>
  <c r="R98" i="1"/>
  <c r="R295" i="1"/>
  <c r="R24" i="1"/>
  <c r="R307" i="1"/>
  <c r="R177" i="1"/>
  <c r="R72" i="1"/>
  <c r="R116" i="1"/>
  <c r="R16" i="1"/>
  <c r="R321" i="1"/>
  <c r="R327" i="1"/>
  <c r="R99" i="1"/>
  <c r="R254" i="1"/>
  <c r="R136" i="1"/>
  <c r="R339" i="1"/>
  <c r="R209" i="1"/>
  <c r="R235" i="1"/>
  <c r="R150" i="1"/>
  <c r="R83" i="1"/>
  <c r="R322" i="1"/>
  <c r="R221" i="1"/>
  <c r="R131" i="1"/>
  <c r="R25" i="1"/>
  <c r="R170" i="1"/>
  <c r="R340" i="1"/>
  <c r="R241" i="1"/>
  <c r="R106" i="1"/>
  <c r="R182" i="1"/>
  <c r="R18" i="1"/>
  <c r="R51" i="1"/>
  <c r="R56" i="1"/>
  <c r="R197" i="1"/>
  <c r="R66" i="1"/>
  <c r="R165" i="1"/>
  <c r="R33" i="1"/>
  <c r="R104" i="1"/>
  <c r="R34" i="1"/>
  <c r="R202" i="1"/>
  <c r="R185" i="1"/>
  <c r="R278" i="1"/>
  <c r="R273" i="1"/>
  <c r="R214" i="1"/>
  <c r="R50" i="1"/>
  <c r="R250" i="1"/>
  <c r="R222" i="1"/>
  <c r="R229" i="1"/>
  <c r="R102" i="1"/>
  <c r="R234" i="1"/>
  <c r="R52" i="1"/>
  <c r="R12" i="1"/>
  <c r="R109" i="1"/>
  <c r="R246" i="1"/>
  <c r="R85" i="1"/>
  <c r="R55" i="1"/>
  <c r="R159" i="1"/>
  <c r="R266" i="1"/>
  <c r="R168" i="1"/>
  <c r="R271" i="1"/>
  <c r="R304" i="1"/>
  <c r="R44" i="1"/>
  <c r="R308" i="1"/>
  <c r="R283" i="1"/>
  <c r="R118" i="1"/>
  <c r="R157" i="1"/>
  <c r="R324" i="1"/>
  <c r="R298" i="1"/>
  <c r="R68" i="1"/>
  <c r="R101" i="1"/>
  <c r="R133" i="1"/>
  <c r="R167" i="1"/>
  <c r="R199" i="1"/>
  <c r="R231" i="1"/>
  <c r="R268" i="1"/>
  <c r="R300" i="1"/>
  <c r="R332" i="1"/>
  <c r="R17" i="1"/>
  <c r="R49" i="1"/>
  <c r="R81" i="1"/>
  <c r="R172" i="1"/>
  <c r="R114" i="1"/>
  <c r="R97" i="1"/>
  <c r="R7" i="1"/>
  <c r="R148" i="1"/>
  <c r="R227" i="1"/>
  <c r="R39" i="1"/>
  <c r="R311" i="1"/>
  <c r="R180" i="1"/>
  <c r="R183" i="1"/>
  <c r="R88" i="1"/>
  <c r="R294" i="1"/>
  <c r="R30" i="1"/>
  <c r="R230" i="1"/>
  <c r="R135" i="1"/>
  <c r="R74" i="1"/>
  <c r="R249" i="1"/>
  <c r="R343" i="1"/>
  <c r="R212" i="1"/>
  <c r="R215" i="1"/>
  <c r="R53" i="1"/>
  <c r="R326" i="1"/>
  <c r="R130" i="1"/>
  <c r="R267" i="1"/>
  <c r="R14" i="1"/>
  <c r="R46" i="1"/>
  <c r="R210" i="1"/>
  <c r="R317" i="1"/>
  <c r="R299" i="1"/>
  <c r="R146" i="1"/>
  <c r="R95" i="1"/>
  <c r="R301" i="1"/>
  <c r="R255" i="1"/>
  <c r="R144" i="1"/>
  <c r="R84" i="1"/>
  <c r="R35" i="1"/>
  <c r="R240" i="1"/>
  <c r="R242" i="1"/>
  <c r="R117" i="1"/>
  <c r="R224" i="1"/>
  <c r="R166" i="1"/>
  <c r="R70" i="1"/>
  <c r="R310" i="1"/>
  <c r="R279" i="1"/>
  <c r="R151" i="1"/>
  <c r="R349" i="1"/>
  <c r="R161" i="1"/>
  <c r="R198" i="1"/>
  <c r="R103" i="1"/>
  <c r="R342" i="1"/>
  <c r="R169" i="1"/>
  <c r="R107" i="1"/>
  <c r="R186" i="1"/>
  <c r="R87" i="1"/>
  <c r="R244" i="1"/>
  <c r="R247" i="1"/>
  <c r="R89" i="1"/>
  <c r="R19" i="1"/>
  <c r="R164" i="1"/>
  <c r="R201" i="1"/>
  <c r="R139" i="1"/>
  <c r="R272" i="1"/>
  <c r="R120" i="1"/>
  <c r="R281" i="1"/>
  <c r="R284" i="1"/>
  <c r="R121" i="1"/>
  <c r="R287" i="1"/>
  <c r="R196" i="1"/>
  <c r="R331" i="1"/>
  <c r="R217" i="1"/>
  <c r="R20" i="1"/>
  <c r="R23" i="1"/>
  <c r="R286" i="1"/>
  <c r="R67" i="1"/>
  <c r="R37" i="1"/>
  <c r="R248" i="1"/>
  <c r="R333" i="1"/>
  <c r="R96" i="1"/>
  <c r="R233" i="1"/>
  <c r="R173" i="1"/>
  <c r="R38" i="1"/>
  <c r="R336" i="1"/>
  <c r="R313" i="1"/>
  <c r="R316" i="1"/>
  <c r="R155" i="1"/>
  <c r="R91" i="1"/>
  <c r="R228" i="1"/>
  <c r="R270" i="1"/>
  <c r="R205" i="1"/>
  <c r="R337" i="1"/>
  <c r="R204" i="1"/>
  <c r="R345" i="1"/>
  <c r="R348" i="1"/>
  <c r="R187" i="1"/>
  <c r="R253" i="1"/>
  <c r="R265" i="1"/>
  <c r="R302" i="1"/>
  <c r="R237" i="1"/>
  <c r="R76" i="1"/>
  <c r="R276" i="1"/>
  <c r="R346" i="1"/>
  <c r="R119" i="1"/>
  <c r="R219" i="1"/>
  <c r="R124" i="1"/>
  <c r="R297" i="1"/>
  <c r="R334" i="1"/>
  <c r="R274" i="1"/>
  <c r="R239" i="1"/>
  <c r="R77" i="1"/>
  <c r="R350" i="1"/>
  <c r="R218" i="1"/>
  <c r="R251" i="1"/>
  <c r="R158" i="1"/>
  <c r="R329" i="1"/>
  <c r="R290" i="1"/>
  <c r="R190" i="1"/>
  <c r="R57" i="1"/>
  <c r="R223" i="1"/>
  <c r="R207" i="1"/>
  <c r="R93" i="1"/>
  <c r="R10" i="1"/>
  <c r="R225" i="1"/>
  <c r="R203" i="1"/>
  <c r="R285" i="1"/>
  <c r="R153" i="1"/>
  <c r="R110" i="1"/>
  <c r="R5" i="1"/>
  <c r="R105" i="1"/>
  <c r="R288" i="1"/>
  <c r="R191" i="1"/>
  <c r="R27" i="1"/>
  <c r="R154" i="1"/>
  <c r="R338" i="1"/>
  <c r="R176" i="1"/>
  <c r="R80" i="1"/>
  <c r="R171" i="1"/>
  <c r="R137" i="1"/>
  <c r="R320" i="1"/>
  <c r="R292" i="1"/>
  <c r="R160" i="1"/>
  <c r="R21" i="1"/>
  <c r="R8" i="1"/>
  <c r="R208" i="1"/>
  <c r="R113" i="1"/>
  <c r="R73" i="1"/>
  <c r="R6" i="1"/>
  <c r="R22" i="1"/>
  <c r="R94" i="1"/>
  <c r="R325" i="1"/>
  <c r="R189" i="1"/>
  <c r="R40" i="1"/>
  <c r="R277" i="1"/>
  <c r="R147" i="1"/>
  <c r="R305" i="1"/>
  <c r="R236" i="1"/>
  <c r="R54" i="1"/>
  <c r="R293" i="1"/>
  <c r="R127" i="1"/>
  <c r="R26" i="1"/>
  <c r="R192" i="1"/>
  <c r="R59" i="1"/>
  <c r="R269" i="1"/>
  <c r="R216" i="1"/>
  <c r="R178" i="1"/>
  <c r="R132" i="1"/>
  <c r="R306" i="1"/>
  <c r="R75" i="1"/>
  <c r="R179" i="1"/>
  <c r="R141" i="1"/>
  <c r="R90" i="1"/>
  <c r="R193" i="1"/>
  <c r="R28" i="1"/>
  <c r="R125" i="1"/>
  <c r="R108" i="1"/>
  <c r="R341" i="1"/>
  <c r="R211" i="1"/>
  <c r="R15" i="1"/>
  <c r="R175" i="1"/>
  <c r="R122" i="1"/>
  <c r="R128" i="1"/>
  <c r="R29" i="1"/>
  <c r="R69" i="1"/>
  <c r="R140" i="1"/>
  <c r="R11" i="1"/>
  <c r="R243" i="1"/>
  <c r="R115" i="1"/>
  <c r="R47" i="1"/>
  <c r="R156" i="1"/>
  <c r="R162" i="1"/>
  <c r="R129" i="1"/>
  <c r="R25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think</author>
  </authors>
  <commentList>
    <comment ref="C2" authorId="0" shapeId="0" xr:uid="{00000000-0006-0000-0000-000001000000}">
      <text>
        <r>
          <rPr>
            <b/>
            <sz val="9"/>
            <rFont val="宋体"/>
            <family val="3"/>
            <charset val="134"/>
          </rPr>
          <t>作者</t>
        </r>
        <r>
          <rPr>
            <b/>
            <sz val="9"/>
            <rFont val="Tahoma"/>
            <family val="2"/>
          </rPr>
          <t>:</t>
        </r>
        <r>
          <rPr>
            <sz val="9"/>
            <rFont val="Tahoma"/>
            <family val="2"/>
          </rPr>
          <t xml:space="preserve">
1——</t>
        </r>
        <r>
          <rPr>
            <sz val="9"/>
            <rFont val="宋体"/>
            <family val="3"/>
            <charset val="134"/>
          </rPr>
          <t>技御式
2——术杀式
3——武杀式
4——法咒式</t>
        </r>
      </text>
    </comment>
    <comment ref="E2" authorId="1" shapeId="0" xr:uid="{00000000-0006-0000-0000-000002000000}">
      <text>
        <r>
          <rPr>
            <b/>
            <sz val="9"/>
            <rFont val="宋体"/>
            <family val="3"/>
            <charset val="134"/>
          </rPr>
          <t>think:</t>
        </r>
        <r>
          <rPr>
            <sz val="9"/>
            <rFont val="宋体"/>
            <family val="3"/>
            <charset val="134"/>
          </rPr>
          <t xml:space="preserve">
无前缀</t>
        </r>
      </text>
    </comment>
    <comment ref="H2" authorId="1" shapeId="0" xr:uid="{00000000-0006-0000-0000-000003000000}">
      <text>
        <r>
          <rPr>
            <b/>
            <sz val="9"/>
            <rFont val="宋体"/>
            <family val="3"/>
            <charset val="134"/>
          </rPr>
          <t>think:</t>
        </r>
        <r>
          <rPr>
            <sz val="9"/>
            <rFont val="宋体"/>
            <family val="3"/>
            <charset val="134"/>
          </rPr>
          <t xml:space="preserve">
无前缀</t>
        </r>
      </text>
    </comment>
    <comment ref="J2" authorId="1" shapeId="0" xr:uid="{00000000-0006-0000-0000-000004000000}">
      <text>
        <r>
          <rPr>
            <b/>
            <sz val="9"/>
            <rFont val="宋体"/>
            <family val="3"/>
            <charset val="134"/>
          </rPr>
          <t>think:</t>
        </r>
        <r>
          <rPr>
            <sz val="9"/>
            <rFont val="宋体"/>
            <family val="3"/>
            <charset val="134"/>
          </rPr>
          <t xml:space="preserve">
前缀：交锋时</t>
        </r>
      </text>
    </comment>
    <comment ref="O2" authorId="0" shapeId="0" xr:uid="{00000000-0006-0000-0000-000005000000}">
      <text>
        <r>
          <rPr>
            <b/>
            <sz val="9"/>
            <rFont val="宋体"/>
            <family val="3"/>
            <charset val="134"/>
          </rPr>
          <t>作者</t>
        </r>
        <r>
          <rPr>
            <b/>
            <sz val="9"/>
            <rFont val="Tahoma"/>
            <family val="2"/>
          </rPr>
          <t>:</t>
        </r>
        <r>
          <rPr>
            <sz val="9"/>
            <rFont val="Tahoma"/>
            <family val="2"/>
          </rPr>
          <t xml:space="preserve">
1——</t>
        </r>
        <r>
          <rPr>
            <sz val="9"/>
            <rFont val="宋体"/>
            <family val="3"/>
            <charset val="134"/>
          </rPr>
          <t>通用
2——武师
3——术士
4——铁卫
5——影候
6——艺者
战斗人物ID——独有</t>
        </r>
      </text>
    </comment>
    <comment ref="R2" authorId="0" shapeId="0" xr:uid="{00000000-0006-0000-0000-000006000000}">
      <text>
        <r>
          <rPr>
            <b/>
            <sz val="9"/>
            <rFont val="Tahoma"/>
            <family val="2"/>
          </rPr>
          <t>作者:</t>
        </r>
        <r>
          <rPr>
            <sz val="9"/>
            <rFont val="Tahoma"/>
            <family val="2"/>
          </rPr>
          <t xml:space="preserve">
1——</t>
        </r>
        <r>
          <rPr>
            <sz val="9"/>
            <rFont val="宋体"/>
            <family val="3"/>
            <charset val="134"/>
          </rPr>
          <t>上
2——下
3——左
4——右</t>
        </r>
      </text>
    </comment>
    <comment ref="S2" authorId="0" shapeId="0" xr:uid="{00000000-0006-0000-0000-000007000000}">
      <text>
        <r>
          <rPr>
            <b/>
            <sz val="9"/>
            <rFont val="宋体"/>
            <family val="3"/>
            <charset val="134"/>
          </rPr>
          <t>作者</t>
        </r>
        <r>
          <rPr>
            <b/>
            <sz val="9"/>
            <rFont val="Tahoma"/>
            <family val="2"/>
          </rPr>
          <t>:</t>
        </r>
        <r>
          <rPr>
            <sz val="9"/>
            <rFont val="Tahoma"/>
            <family val="2"/>
          </rPr>
          <t xml:space="preserve">
1——</t>
        </r>
        <r>
          <rPr>
            <sz val="9"/>
            <rFont val="宋体"/>
            <family val="3"/>
            <charset val="134"/>
          </rPr>
          <t xml:space="preserve">敌方
</t>
        </r>
        <r>
          <rPr>
            <sz val="9"/>
            <rFont val="Tahoma"/>
            <family val="2"/>
          </rPr>
          <t>2——</t>
        </r>
        <r>
          <rPr>
            <sz val="9"/>
            <rFont val="宋体"/>
            <family val="3"/>
            <charset val="134"/>
          </rPr>
          <t>友方（不包含自身）
3——对应物品配置</t>
        </r>
      </text>
    </comment>
    <comment ref="Y2" authorId="1" shapeId="0" xr:uid="{00000000-0006-0000-0000-000008000000}">
      <text>
        <r>
          <rPr>
            <b/>
            <sz val="9"/>
            <rFont val="宋体"/>
            <family val="3"/>
            <charset val="134"/>
          </rPr>
          <t>think:</t>
        </r>
        <r>
          <rPr>
            <sz val="9"/>
            <rFont val="宋体"/>
            <family val="3"/>
            <charset val="134"/>
          </rPr>
          <t xml:space="preserve">
1 - 近战
2 - 远程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think</author>
  </authors>
  <commentList>
    <comment ref="C2" authorId="0" shapeId="0" xr:uid="{00000000-0006-0000-0300-000001000000}">
      <text>
        <r>
          <rPr>
            <b/>
            <sz val="9"/>
            <rFont val="宋体"/>
            <family val="3"/>
            <charset val="134"/>
          </rPr>
          <t>作者</t>
        </r>
        <r>
          <rPr>
            <b/>
            <sz val="9"/>
            <rFont val="Tahoma"/>
            <family val="2"/>
          </rPr>
          <t>:</t>
        </r>
        <r>
          <rPr>
            <sz val="9"/>
            <rFont val="Tahoma"/>
            <family val="2"/>
          </rPr>
          <t xml:space="preserve">
1——</t>
        </r>
        <r>
          <rPr>
            <sz val="9"/>
            <rFont val="宋体"/>
            <family val="3"/>
            <charset val="134"/>
          </rPr>
          <t>技御式
2——术杀式
3——武杀式
4——法咒式</t>
        </r>
      </text>
    </comment>
    <comment ref="E2" authorId="1" shapeId="0" xr:uid="{00000000-0006-0000-0300-000002000000}">
      <text>
        <r>
          <rPr>
            <b/>
            <sz val="9"/>
            <rFont val="宋体"/>
            <family val="3"/>
            <charset val="134"/>
          </rPr>
          <t>think:</t>
        </r>
        <r>
          <rPr>
            <sz val="9"/>
            <rFont val="宋体"/>
            <family val="3"/>
            <charset val="134"/>
          </rPr>
          <t xml:space="preserve">
无前缀</t>
        </r>
      </text>
    </comment>
    <comment ref="G2" authorId="1" shapeId="0" xr:uid="{00000000-0006-0000-0300-000003000000}">
      <text>
        <r>
          <rPr>
            <b/>
            <sz val="9"/>
            <rFont val="宋体"/>
            <family val="3"/>
            <charset val="134"/>
          </rPr>
          <t>think:</t>
        </r>
        <r>
          <rPr>
            <sz val="9"/>
            <rFont val="宋体"/>
            <family val="3"/>
            <charset val="134"/>
          </rPr>
          <t xml:space="preserve">
无前缀</t>
        </r>
      </text>
    </comment>
    <comment ref="I2" authorId="1" shapeId="0" xr:uid="{00000000-0006-0000-0300-000004000000}">
      <text>
        <r>
          <rPr>
            <b/>
            <sz val="9"/>
            <rFont val="宋体"/>
            <family val="3"/>
            <charset val="134"/>
          </rPr>
          <t>think:</t>
        </r>
        <r>
          <rPr>
            <sz val="9"/>
            <rFont val="宋体"/>
            <family val="3"/>
            <charset val="134"/>
          </rPr>
          <t xml:space="preserve">
前缀：交锋时</t>
        </r>
      </text>
    </comment>
    <comment ref="N2" authorId="0" shapeId="0" xr:uid="{00000000-0006-0000-0300-000005000000}">
      <text>
        <r>
          <rPr>
            <b/>
            <sz val="9"/>
            <rFont val="宋体"/>
            <family val="3"/>
            <charset val="134"/>
          </rPr>
          <t>作者</t>
        </r>
        <r>
          <rPr>
            <b/>
            <sz val="9"/>
            <rFont val="Tahoma"/>
            <family val="2"/>
          </rPr>
          <t>:</t>
        </r>
        <r>
          <rPr>
            <sz val="9"/>
            <rFont val="Tahoma"/>
            <family val="2"/>
          </rPr>
          <t xml:space="preserve">
1——</t>
        </r>
        <r>
          <rPr>
            <sz val="9"/>
            <rFont val="宋体"/>
            <family val="3"/>
            <charset val="134"/>
          </rPr>
          <t>通用
2——武师
3——术士
4——铁卫
5——影候
6——艺者
战斗人物ID——独有</t>
        </r>
      </text>
    </comment>
    <comment ref="Q2" authorId="0" shapeId="0" xr:uid="{00000000-0006-0000-0300-000006000000}">
      <text>
        <r>
          <rPr>
            <b/>
            <sz val="9"/>
            <rFont val="Tahoma"/>
            <family val="2"/>
          </rPr>
          <t>作者:</t>
        </r>
        <r>
          <rPr>
            <sz val="9"/>
            <rFont val="Tahoma"/>
            <family val="2"/>
          </rPr>
          <t xml:space="preserve">
1——</t>
        </r>
        <r>
          <rPr>
            <sz val="9"/>
            <rFont val="宋体"/>
            <family val="3"/>
            <charset val="134"/>
          </rPr>
          <t>上
2——下
3——左
4——右</t>
        </r>
      </text>
    </comment>
    <comment ref="R2" authorId="0" shapeId="0" xr:uid="{00000000-0006-0000-0300-000007000000}">
      <text>
        <r>
          <rPr>
            <b/>
            <sz val="9"/>
            <rFont val="宋体"/>
            <family val="3"/>
            <charset val="134"/>
          </rPr>
          <t>作者</t>
        </r>
        <r>
          <rPr>
            <b/>
            <sz val="9"/>
            <rFont val="Tahoma"/>
            <family val="2"/>
          </rPr>
          <t>:</t>
        </r>
        <r>
          <rPr>
            <sz val="9"/>
            <rFont val="Tahoma"/>
            <family val="2"/>
          </rPr>
          <t xml:space="preserve">
1——</t>
        </r>
        <r>
          <rPr>
            <sz val="9"/>
            <rFont val="宋体"/>
            <family val="3"/>
            <charset val="134"/>
          </rPr>
          <t xml:space="preserve">敌方
</t>
        </r>
        <r>
          <rPr>
            <sz val="9"/>
            <rFont val="Tahoma"/>
            <family val="2"/>
          </rPr>
          <t>2——</t>
        </r>
        <r>
          <rPr>
            <sz val="9"/>
            <rFont val="宋体"/>
            <family val="3"/>
            <charset val="134"/>
          </rPr>
          <t>友方（不包含自身）
3——对应物品配置</t>
        </r>
      </text>
    </comment>
    <comment ref="X2" authorId="1" shapeId="0" xr:uid="{00000000-0006-0000-0300-000008000000}">
      <text>
        <r>
          <rPr>
            <b/>
            <sz val="9"/>
            <rFont val="宋体"/>
            <family val="3"/>
            <charset val="134"/>
          </rPr>
          <t>think:</t>
        </r>
        <r>
          <rPr>
            <sz val="9"/>
            <rFont val="宋体"/>
            <family val="3"/>
            <charset val="134"/>
          </rPr>
          <t xml:space="preserve">
1 - 自身中心
2 - 目标中心（远程用）</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<sst xmlns="http://schemas.openxmlformats.org/spreadsheetml/2006/main" count="2046" uniqueCount="1100">
  <si>
    <t>id</t>
  </si>
  <si>
    <t>招式</t>
  </si>
  <si>
    <t>行动决定后效果参数</t>
  </si>
  <si>
    <t>释放成功效果参数</t>
  </si>
  <si>
    <t>产生交锋效果参数</t>
  </si>
  <si>
    <t>行动后效果参数</t>
  </si>
  <si>
    <t>其他效果参数</t>
  </si>
  <si>
    <t>职能限制</t>
  </si>
  <si>
    <t>技巧点</t>
  </si>
  <si>
    <t>按键</t>
  </si>
  <si>
    <t>可选目标</t>
  </si>
  <si>
    <t>刚炁消耗</t>
  </si>
  <si>
    <t>玄炁消耗</t>
  </si>
  <si>
    <t>派系</t>
  </si>
  <si>
    <t>特效资源</t>
  </si>
  <si>
    <t>移动类</t>
  </si>
  <si>
    <t>是否需要目标</t>
  </si>
  <si>
    <t>能否习得</t>
  </si>
  <si>
    <t>招式动作</t>
  </si>
  <si>
    <t>Id</t>
  </si>
  <si>
    <t>#招式名</t>
  </si>
  <si>
    <t>Move</t>
  </si>
  <si>
    <t>ActionParams</t>
  </si>
  <si>
    <t>#效果：行动决定后</t>
  </si>
  <si>
    <t>ReleaseParams</t>
  </si>
  <si>
    <t>#效果：行动时</t>
  </si>
  <si>
    <t>#效果：释放成功</t>
  </si>
  <si>
    <t>CrossSwordsParams</t>
  </si>
  <si>
    <t>#效果：产生交锋</t>
  </si>
  <si>
    <t>FinishParams</t>
  </si>
  <si>
    <t>#效果：行动后</t>
  </si>
  <si>
    <t>OtherParams</t>
  </si>
  <si>
    <t>#效果：其他</t>
  </si>
  <si>
    <t>ProfessionRestriction</t>
  </si>
  <si>
    <t>#按键</t>
  </si>
  <si>
    <t>Key</t>
  </si>
  <si>
    <t>Object</t>
  </si>
  <si>
    <t>GangQiExpend</t>
  </si>
  <si>
    <t>XuanQiExpend</t>
  </si>
  <si>
    <t>Sect</t>
  </si>
  <si>
    <t>#派系</t>
  </si>
  <si>
    <t>ReleaseTargetRequirements</t>
  </si>
  <si>
    <t>learnRestriction</t>
  </si>
  <si>
    <t>int32</t>
  </si>
  <si>
    <t>string</t>
  </si>
  <si>
    <t>快速防守</t>
  </si>
  <si>
    <t>行动的前2息内即将受到攻击将立即执行本次行动</t>
  </si>
  <si>
    <t>行动期间破与防翻倍，本次行动不会被破招</t>
  </si>
  <si>
    <t>若与杀式交锋则敌手因招式效果获得的炁-100</t>
  </si>
  <si>
    <t>获得1个随机的键</t>
  </si>
  <si>
    <t>↓↓</t>
  </si>
  <si>
    <t>/</t>
  </si>
  <si>
    <t>市井拳脚</t>
  </si>
  <si>
    <t>起势</t>
  </si>
  <si>
    <t>获得3个随机的键</t>
  </si>
  <si>
    <t>补充随机的键到达持有上限</t>
  </si>
  <si>
    <t>←←</t>
  </si>
  <si>
    <t>三流散功</t>
  </si>
  <si>
    <t>借力</t>
  </si>
  <si>
    <t>获得对方招式构成相同的键</t>
  </si>
  <si>
    <t>↓←</t>
  </si>
  <si>
    <t>常功</t>
  </si>
  <si>
    <t>汲苦</t>
  </si>
  <si>
    <t>行动期间受到直接伤害时恢复伤害量30%的体，本次行动不会被破招</t>
  </si>
  <si>
    <t>若互为目标则敌手因招式效果获得的炁-100</t>
  </si>
  <si>
    <t>行动期间若受到过直接伤害则刚炁+15</t>
  </si>
  <si>
    <t>↓↓↑</t>
  </si>
  <si>
    <t>业生寺</t>
  </si>
  <si>
    <t>招架</t>
  </si>
  <si>
    <t>行动期间破与防翻倍，本次行动不会被破招且持续到下个回合开始或下一次行动</t>
  </si>
  <si>
    <t>↓↓←</t>
  </si>
  <si>
    <t>基本功</t>
  </si>
  <si>
    <t>外炁屏障</t>
  </si>
  <si>
    <t>招式的招式的刚炁消耗转为当前50%，至多50</t>
  </si>
  <si>
    <t>获得80%力的护体</t>
  </si>
  <si>
    <t>玄炁+10，下个回合开始获得本回合结束时等量的护体</t>
  </si>
  <si>
    <t>炁拶</t>
  </si>
  <si>
    <t>↑→↓</t>
  </si>
  <si>
    <t>风传</t>
  </si>
  <si>
    <t>行动加快2息</t>
  </si>
  <si>
    <t>指定友方获得2层迅速，清除目标的缓速状态</t>
  </si>
  <si>
    <t>玄炁+20，双方获得2个随机的键</t>
  </si>
  <si>
    <t>↓←←↓</t>
  </si>
  <si>
    <t>羽楼</t>
  </si>
  <si>
    <t>临阵之志</t>
  </si>
  <si>
    <t>行动加快1息</t>
  </si>
  <si>
    <t>获得一层反击</t>
  </si>
  <si>
    <t>在3息内反击不会低于一层</t>
  </si>
  <si>
    <t>↓↓→↑</t>
  </si>
  <si>
    <t>忱武堂</t>
  </si>
  <si>
    <t>聚炁</t>
  </si>
  <si>
    <t>刚炁+15，玄炁+15</t>
  </si>
  <si>
    <t>↑↑</t>
  </si>
  <si>
    <t>运玄流</t>
  </si>
  <si>
    <t>行动延迟2息</t>
  </si>
  <si>
    <t>玄炁+50</t>
  </si>
  <si>
    <t>每次使用后该招式减少2刚炁消耗减少5玄炁增加</t>
  </si>
  <si>
    <t>↑↑←</t>
  </si>
  <si>
    <t>运刚流</t>
  </si>
  <si>
    <t>刚炁+50</t>
  </si>
  <si>
    <t>每次使用后该招式减少2玄炁消耗减少5刚炁增加</t>
  </si>
  <si>
    <t>↑↑→</t>
  </si>
  <si>
    <t>铩血功</t>
  </si>
  <si>
    <t>获得100%力的血炁甲状态层数，玄炁+5</t>
  </si>
  <si>
    <t>下次行动前受到伤害后减少等量体获得等量血炁甲层数</t>
  </si>
  <si>
    <t>↑→→↓</t>
  </si>
  <si>
    <t>血霞秘功</t>
  </si>
  <si>
    <t>快服</t>
  </si>
  <si>
    <t>选择消耗品使用</t>
  </si>
  <si>
    <t>消耗物品产生对应效果</t>
  </si>
  <si>
    <t>←</t>
  </si>
  <si>
    <t>披茧功</t>
  </si>
  <si>
    <t>刚炁至少50则本次行动不会被破招</t>
  </si>
  <si>
    <t>获得6个不同的键，获得2层心眼</t>
  </si>
  <si>
    <t>←↑←</t>
  </si>
  <si>
    <t>汇力诀</t>
  </si>
  <si>
    <t>获得3层心眼状态</t>
  </si>
  <si>
    <t>刚炁+60</t>
  </si>
  <si>
    <t>获得1层武增和2层力增</t>
  </si>
  <si>
    <t>↑←↑</t>
  </si>
  <si>
    <t>玄龙灌体</t>
  </si>
  <si>
    <t>键至少5则本次行动不会被破招</t>
  </si>
  <si>
    <t>获得2层武增状态和3层力增状态和4层刚聚状态</t>
  </si>
  <si>
    <t>获得5个随机的键</t>
  </si>
  <si>
    <t>↑↓</t>
  </si>
  <si>
    <t>调步</t>
  </si>
  <si>
    <t>获得2层玄聚状态</t>
  </si>
  <si>
    <t>消耗全部的键获得（等量+4）随机的键，获得1次行动次数</t>
  </si>
  <si>
    <t>↓←→↑</t>
  </si>
  <si>
    <t>生生不息</t>
  </si>
  <si>
    <t>本次行动不会被未带有←类留劲状态的敌手破招</t>
  </si>
  <si>
    <t>玄炁上限+40%</t>
  </si>
  <si>
    <t>玄炁+40%</t>
  </si>
  <si>
    <t>800002|800003|800004|800005|800006</t>
  </si>
  <si>
    <t>↑↑→↓</t>
  </si>
  <si>
    <t>无</t>
  </si>
  <si>
    <t>玄炁上限+55%</t>
  </si>
  <si>
    <t>玄炁+55%</t>
  </si>
  <si>
    <t>灵归</t>
  </si>
  <si>
    <t>随机获得5个键</t>
  </si>
  <si>
    <t>将持有键替换为不同的键各2个</t>
  </si>
  <si>
    <t>玄炁+75%</t>
  </si>
  <si>
    <t>↓↑</t>
  </si>
  <si>
    <t>观</t>
  </si>
  <si>
    <t>行动延迟1息</t>
  </si>
  <si>
    <t>获得3层心眼状态，获得1次行动次数</t>
  </si>
  <si>
    <t>→↓</t>
  </si>
  <si>
    <t>玄炁+75%，若被破招则下次使用该招式不会被破招</t>
  </si>
  <si>
    <t>铁筋功</t>
  </si>
  <si>
    <t>行动期间破与防翻倍，本次行动不会被破招且持续到下个回合开始</t>
  </si>
  <si>
    <t>施加3层力衰状态</t>
  </si>
  <si>
    <t>↓↓←→</t>
  </si>
  <si>
    <t>焚羽凌霄</t>
  </si>
  <si>
    <t>获得10层缓速和10层迅速和5层玄聚和5层玄屏和5层刚聚和5层刚屏</t>
  </si>
  <si>
    <t>获得5层术衰状态和5层术增状态和5层技增状态和5层技衰状态和5层力衰状态和5层力增状态和5层武增状态和5层武衰状态</t>
  </si>
  <si>
    <t>将玄炁和刚炁的持有量变为50，获得5个随机的键</t>
  </si>
  <si>
    <t>↑→↓←</t>
  </si>
  <si>
    <t>四象形意</t>
  </si>
  <si>
    <t>化蜕虫</t>
  </si>
  <si>
    <t>获得10层缓速和10层迅速</t>
  </si>
  <si>
    <t>获得5层术衰状态和5层术增和5层技增和5层技衰</t>
  </si>
  <si>
    <t>鸩姿</t>
  </si>
  <si>
    <t>获得1次行动次数，下回合开始消耗全部键</t>
  </si>
  <si>
    <t>↓←←</t>
  </si>
  <si>
    <t>静待流觞</t>
  </si>
  <si>
    <t>行动期间防翻倍，本次行动不会被武杀式破招且持续到下个回合开始或下一次行动</t>
  </si>
  <si>
    <t>若与杀式交锋则刚炁+20,若且互为目标则消耗目标20刚炁</t>
  </si>
  <si>
    <t>↓→</t>
  </si>
  <si>
    <t>逃之夭夭</t>
  </si>
  <si>
    <t>本次行动不会被破招</t>
  </si>
  <si>
    <t>退出战斗</t>
  </si>
  <si>
    <t>迅速状态超过6时可使用</t>
  </si>
  <si>
    <t>周旋</t>
  </si>
  <si>
    <t>获得1层回避</t>
  </si>
  <si>
    <t>获得4个不同的键</t>
  </si>
  <si>
    <t>←←←</t>
  </si>
  <si>
    <t>遁江</t>
  </si>
  <si>
    <t>若未成为敌手的行动目标则获得1层匿形状态</t>
  </si>
  <si>
    <t>刚炁+20</t>
  </si>
  <si>
    <t>在水域场景可使用</t>
  </si>
  <si>
    <t>渔术</t>
  </si>
  <si>
    <t>好戏开场</t>
  </si>
  <si>
    <t>本次行动延迟1息</t>
  </si>
  <si>
    <t>下次行动的玄炁消耗减少30</t>
  </si>
  <si>
    <t>野法乱术</t>
  </si>
  <si>
    <t>围追堵截</t>
  </si>
  <si>
    <t>800086|800087|800088|800089|800090|800091|800092</t>
  </si>
  <si>
    <t>↓↑↓</t>
  </si>
  <si>
    <t>妖化</t>
  </si>
  <si>
    <t>获得2层巧增</t>
  </si>
  <si>
    <t>玄炁+40，下回合猊煞状态不会产生消耗</t>
  </si>
  <si>
    <t>持有猊煞状态可使用</t>
  </si>
  <si>
    <t>猊煞变</t>
  </si>
  <si>
    <t>叩天门</t>
  </si>
  <si>
    <t>获得1层烈命状态</t>
  </si>
  <si>
    <t>获得1次行动次数</t>
  </si>
  <si>
    <t>←→↑</t>
  </si>
  <si>
    <t>暴怒</t>
  </si>
  <si>
    <t>获得4次破招抵免，本次行动持续到下次行动</t>
  </si>
  <si>
    <t>直到下次行动前速固定为1，若期间未被破招则下次行动释放武杀式：撼地</t>
  </si>
  <si>
    <t>之后再次使用该招式所获得的破招抵免在本次战斗中提升2次</t>
  </si>
  <si>
    <t>剩余行动次数为1时可使用</t>
  </si>
  <si>
    <t>800075|800076|800077</t>
  </si>
  <si>
    <t>舔舐伤口</t>
  </si>
  <si>
    <t>清除自身3个异常状态，若清除数量不超过3个则每少1个给予1层武增1层力增1层巧增</t>
  </si>
  <si>
    <t>垂身喘息</t>
  </si>
  <si>
    <t>刚炁+100，随机获得5个键</t>
  </si>
  <si>
    <t>敌手因招式效果获得的炁-100，交锋失败则在下一息重复该招式</t>
  </si>
  <si>
    <t>蜷缩抽搐</t>
  </si>
  <si>
    <t>清除2个负面状态并获得10层避殃状态</t>
  </si>
  <si>
    <t>800078|800079|800090</t>
  </si>
  <si>
    <t>本次行动不会被破招且持续到下次行动，下次行动决定后获得1次行动次数</t>
  </si>
  <si>
    <t>根据毒瘴状态层数获得增益（1：2次随机获得1层武增/术增/迅速/巧增），期间受到攻击减少2层毒瘴状态</t>
  </si>
  <si>
    <t>至少持有5层毒瘴状态才可使用</t>
  </si>
  <si>
    <t>清除自身3个异常状态，若清除数量不超过3个则每少1个给予2层武增2层力增2层巧增</t>
  </si>
  <si>
    <t>玄炁上限+40</t>
  </si>
  <si>
    <t>玄炁+40</t>
  </si>
  <si>
    <t>玄炁上限+55</t>
  </si>
  <si>
    <t>玄炁+55</t>
  </si>
  <si>
    <t>获得6次破招抵免，本次行动持续到下次行动</t>
  </si>
  <si>
    <t>获得1层避殃状态，敌手因招式效果获得的炁-100，交锋失败则在下一息重复该招式</t>
  </si>
  <si>
    <t>施加3层龙腾状态</t>
  </si>
  <si>
    <t>清除1个异常状态，获得5层玄聚5层刚聚和3层迅速</t>
  </si>
  <si>
    <t>龟伏式</t>
  </si>
  <si>
    <t>行动延迟3息</t>
  </si>
  <si>
    <t>行动期间受到的伤害减少50%，本次行动不会被破招且持续到下个回合开始或下一次行动</t>
  </si>
  <si>
    <t>→↓↓←</t>
  </si>
  <si>
    <t>二流散功</t>
  </si>
  <si>
    <t>遮云手</t>
  </si>
  <si>
    <t>行动期间破与防翻倍</t>
  </si>
  <si>
    <t>↓</t>
  </si>
  <si>
    <t>乌仇神功</t>
  </si>
  <si>
    <t>掩护我</t>
  </si>
  <si>
    <t>将自身即将受到的敌方行动转移至目标友方</t>
  </si>
  <si>
    <t>刚炁+5，玄炁+5</t>
  </si>
  <si>
    <t>←↓↓</t>
  </si>
  <si>
    <t>水戈再起</t>
  </si>
  <si>
    <t>获得3层武增状态和3层力增状态，防+10，力+30</t>
  </si>
  <si>
    <t>获得50%力层的护体状态</t>
  </si>
  <si>
    <t>上次行动若交锋失败才可使用</t>
  </si>
  <si>
    <t>刚炁+12，玄炁+12，获得4层稳势</t>
  </si>
  <si>
    <t>若与与杀式交锋时则获得1层反击状态</t>
  </si>
  <si>
    <t>若醉气层数超过5则改为随机目标释放xx（该招式）</t>
  </si>
  <si>
    <t>获得3层闪避状态</t>
  </si>
  <si>
    <t>获得3层醉气状态与3层巧增状态</t>
  </si>
  <si>
    <t>自如梦</t>
  </si>
  <si>
    <t>回神</t>
  </si>
  <si>
    <t>期间受到伤害增加30%，本次行动不会被破招（优先级最高，不会被后续添加的招式覆盖）</t>
  </si>
  <si>
    <t>本次行动不影响状态的存续</t>
  </si>
  <si>
    <t>获得4层刚聚4层心眼2层破绽抵免状态</t>
  </si>
  <si>
    <t>若存在异常状态则获得异常数量等量随机的键</t>
  </si>
  <si>
    <t>本次行动持续3息，期间持续恢复炁（第一息10刚炁第二息10玄炁第三息各10）</t>
  </si>
  <si>
    <t>基法</t>
  </si>
  <si>
    <t>对目标造成100%技的伤害</t>
  </si>
  <si>
    <t>刚炁+10</t>
  </si>
  <si>
    <t>→↑</t>
  </si>
  <si>
    <t>奇术</t>
  </si>
  <si>
    <t>对目标造成120%技的伤害</t>
  </si>
  <si>
    <t>刚炁+30</t>
  </si>
  <si>
    <t>→↑↓</t>
  </si>
  <si>
    <t>杀伐技</t>
  </si>
  <si>
    <t>对目标造成140%技的伤害</t>
  </si>
  <si>
    <t>刚炁+90</t>
  </si>
  <si>
    <t>→↑↓↓</t>
  </si>
  <si>
    <t>引炁为刃</t>
  </si>
  <si>
    <t>招式的玄炁消耗转为当前30%，至多30</t>
  </si>
  <si>
    <t>刚炁+当前30%（至少9）</t>
  </si>
  <si>
    <t>↑←</t>
  </si>
  <si>
    <t>汇点一破</t>
  </si>
  <si>
    <t>招式的玄炁消耗转为当前40%，至多40</t>
  </si>
  <si>
    <t>对目标造成110%技的伤害</t>
  </si>
  <si>
    <t>刚炁+当前40%（至少12）</t>
  </si>
  <si>
    <t>↑←→</t>
  </si>
  <si>
    <t>绝玄戮命</t>
  </si>
  <si>
    <t>招式的玄炁消耗转为当前70%，至多70</t>
  </si>
  <si>
    <t>对目标造成125%技的伤害</t>
  </si>
  <si>
    <t>刚炁+当前70%（至少21）</t>
  </si>
  <si>
    <t>↑←→→</t>
  </si>
  <si>
    <t>黭幽幻</t>
  </si>
  <si>
    <t>对目标造成115%技的伤害,施加3层术式禁</t>
  </si>
  <si>
    <t>↓→←</t>
  </si>
  <si>
    <t>盗光</t>
  </si>
  <si>
    <t>获得2层缓速</t>
  </si>
  <si>
    <t>若互为目标则窃取目标25%力在本回合</t>
  </si>
  <si>
    <t>刚炁+5</t>
  </si>
  <si>
    <t>↑↑↓→</t>
  </si>
  <si>
    <t>贯日</t>
  </si>
  <si>
    <t>对目标造成115%技的伤害</t>
  </si>
  <si>
    <t>刚炁+30，消耗全部的键</t>
  </si>
  <si>
    <t>→→→</t>
  </si>
  <si>
    <t>绝技·印月</t>
  </si>
  <si>
    <t>复制本回合使用过的术杀式</t>
  </si>
  <si>
    <t>↑↓←→</t>
  </si>
  <si>
    <t>孤支奇功</t>
  </si>
  <si>
    <t>移阳秘术</t>
  </si>
  <si>
    <t>目标杀式的威力若超出100则根据超出等量减少至多35的百分比，根据本次行动招式的二号键方向将交锋目标卦位改变为对应阳卦直到下回合(↑坎↓乾←兑→震)</t>
  </si>
  <si>
    <t>指爻派</t>
  </si>
  <si>
    <t>挪阴秘术</t>
  </si>
  <si>
    <t>目标杀式的威力若超出100则根据超出等量减少至多35的百分比，交锋时根据本次行动招式的二号键方向将交锋目标卦位改变为对应阴卦直到下回合（↑巽↓坤←艮→离）</t>
  </si>
  <si>
    <t>卦引·天破</t>
  </si>
  <si>
    <t>自身或目标在乾位则本次招式威力增加15的百分比，自身在离/巽位则刚炁+10</t>
  </si>
  <si>
    <t>对目标造成120%技的伤害，施加2层破绽状态</t>
  </si>
  <si>
    <t>若自身在离/乾/巽位，卦位不会发生变化</t>
  </si>
  <si>
    <t>←↑↑</t>
  </si>
  <si>
    <t>卦引·尘灭</t>
  </si>
  <si>
    <t>自身或目标在坤位则本次招式威力增加15的百分比，自身在兑/坎位则玄炁+10</t>
  </si>
  <si>
    <t>对目标造成120%技的伤害，施加2层过劲状态</t>
  </si>
  <si>
    <t>若自身在兑/坤/坎位，卦位不会发生变化</t>
  </si>
  <si>
    <t>→↓↓</t>
  </si>
  <si>
    <t>卦引·雳诛</t>
  </si>
  <si>
    <t>自身或目标在震位则本次招式威力增加15的百分比，自身在艮/巽位则刚炁+10</t>
  </si>
  <si>
    <t>对目标造成120%技的伤害，施加2层技衰状态</t>
  </si>
  <si>
    <t>若自身在艮/震/巽位，卦位不会发生变化</t>
  </si>
  <si>
    <t>←↓←</t>
  </si>
  <si>
    <t>卦引·岚萧</t>
  </si>
  <si>
    <t>自身或目标在巽位则本次招式威力增加15的百分比，自身在震/乾位则玄炁+10</t>
  </si>
  <si>
    <t>对目标造成120%技的伤害，施加2层力衰状态</t>
  </si>
  <si>
    <t>若自身在震/巽/乾位，卦位不会发生变化</t>
  </si>
  <si>
    <t>→↑→</t>
  </si>
  <si>
    <t>卦引·焚眀</t>
  </si>
  <si>
    <t>自身或目标在离位则本次招式威力增加15的百分比，自身在乾/兑位则玄炁+10</t>
  </si>
  <si>
    <t>对目标造成120%技的伤害，施加2层状态</t>
  </si>
  <si>
    <t>若自身在乾/离/兑位，卦位不会发生变化</t>
  </si>
  <si>
    <t>→←←</t>
  </si>
  <si>
    <t>卦引·泽网</t>
  </si>
  <si>
    <t>自身或目标在兑位则本次招式威力增加15的百分比，自身在离/坤位则刚炁+10</t>
  </si>
  <si>
    <t>对目标造成120%技的伤害，施加2层缓速状态</t>
  </si>
  <si>
    <t>若自身在离/兑/坤位，卦位不会发生变化</t>
  </si>
  <si>
    <t>卦引·岳镇</t>
  </si>
  <si>
    <t>自身或目标在艮位则本次招式威力增加15的百分比，自身在震/坎位则玄炁+10</t>
  </si>
  <si>
    <t>对目标造成120%技的伤害，施加2层刚屏状态</t>
  </si>
  <si>
    <t>若自身在震/艮/坎位，卦位不会发生变化</t>
  </si>
  <si>
    <t>→↓→</t>
  </si>
  <si>
    <t>卦引·涛绝</t>
  </si>
  <si>
    <t>自身或目标在坎位则本次招式威力增加15的百分比，自身在坤/艮位则玄炁+10</t>
  </si>
  <si>
    <t>对目标造成120%技的伤害，施加2层玄屏状态</t>
  </si>
  <si>
    <t>若自身在坤/坎/艮位，卦位不会发生变化</t>
  </si>
  <si>
    <t>←→→</t>
  </si>
  <si>
    <t>胡乱术法</t>
  </si>
  <si>
    <t>获得3层术衰</t>
  </si>
  <si>
    <t>对目标造成135%技的伤害，施加2层术衰</t>
  </si>
  <si>
    <t>↓↑→</t>
  </si>
  <si>
    <t>摒杀</t>
  </si>
  <si>
    <t>对目标造成175%技的伤害，不会造成伤害而是施加死楔状态</t>
  </si>
  <si>
    <t>敷宵剑</t>
  </si>
  <si>
    <t>对目标造成35%技的伤害</t>
  </si>
  <si>
    <t>敷宵宗</t>
  </si>
  <si>
    <t>施力压迫</t>
  </si>
  <si>
    <t>对目标造成125%技的伤害，施加3层刚屏合3层玄屏</t>
  </si>
  <si>
    <t>←←→↑</t>
  </si>
  <si>
    <t>本次行动不会被未带有↓类留劲状态的敌手破招</t>
  </si>
  <si>
    <t>对目标造成135%技的伤害，施加3层刚屏合3层玄屏</t>
  </si>
  <si>
    <t>迭浪倾川</t>
  </si>
  <si>
    <t>对目标造成110%技的伤害，施加1层僵硬</t>
  </si>
  <si>
    <t>施加3层术衰状态</t>
  </si>
  <si>
    <t>若持有键超过3个则随机消耗3个键在下一息重复该行动</t>
  </si>
  <si>
    <t>←→←</t>
  </si>
  <si>
    <t>尖啸</t>
  </si>
  <si>
    <t>对全部敌手造成100%技的伤害，减少其1个键</t>
  </si>
  <si>
    <t>在下一息重复该行动，至多重复2次</t>
  </si>
  <si>
    <t>↑←↓→</t>
  </si>
  <si>
    <t>森森邪气</t>
  </si>
  <si>
    <t>随机获得3个键</t>
  </si>
  <si>
    <t>对目标造成125%技的伤害，窃取目标1个增益状态</t>
  </si>
  <si>
    <t>若键的数量大于敌手则威力增加10的百分比，且时窃取目标1个增益状态的效果改为交锋时触发</t>
  </si>
  <si>
    <t>←→</t>
  </si>
  <si>
    <t>在下一息重复该行动，至多3次</t>
  </si>
  <si>
    <t>对目标造成135%技的伤害，窃取目标2个增益状态</t>
  </si>
  <si>
    <t>若键的数量大于敌手则威力增加20的百分比，且时窃取目标2个增益状态的效果改为交锋时触发</t>
  </si>
  <si>
    <t>抹残香</t>
  </si>
  <si>
    <t>对目标造成105%技的伤害，若处于第一息则施加1层僵硬状态和2层破绽状态</t>
  </si>
  <si>
    <t>→←</t>
  </si>
  <si>
    <t>小</t>
  </si>
  <si>
    <t>对目标造成100%技的伤害，</t>
  </si>
  <si>
    <t>威力增加0~50的百分比</t>
  </si>
  <si>
    <t>至少持有3个不同的键时可使用</t>
  </si>
  <si>
    <t>中</t>
  </si>
  <si>
    <t>对目标造成50%技的伤害，威力增加0~140的百分比</t>
  </si>
  <si>
    <t>大</t>
  </si>
  <si>
    <t>对目标造成%技的伤害，</t>
  </si>
  <si>
    <t>小雷令</t>
  </si>
  <si>
    <t>对目标造成105%技的伤害，施加3层技衰状态</t>
  </si>
  <si>
    <t>玄炁+15</t>
  </si>
  <si>
    <t>基础法咒</t>
  </si>
  <si>
    <t>燕子回梭</t>
  </si>
  <si>
    <t>对目标造成95%技的伤害，施加1层缓速状态</t>
  </si>
  <si>
    <t>截斗运</t>
  </si>
  <si>
    <t>对目标造成125%技的伤害，施加2层失持状态</t>
  </si>
  <si>
    <t>炁卜</t>
  </si>
  <si>
    <t>苍涛破岳</t>
  </si>
  <si>
    <t>招式的玄炁消耗转为当前100%</t>
  </si>
  <si>
    <t>本次行动招式威力受到的增幅加倍</t>
  </si>
  <si>
    <t>对目标造成130%技的伤害，追加50%技的伤害</t>
  </si>
  <si>
    <t>（若产生过交锋，未成功且本回合未被其他友方使用过招式则在本回合下次行动时可使用隐藏招式：沉嵩镇渊）</t>
  </si>
  <si>
    <t>撕裂魂魄</t>
  </si>
  <si>
    <t>招式的玄炁消耗转为当前40%，行动加快1息</t>
  </si>
  <si>
    <t>对目标造成160%技的伤害，施加5层玄屏状态，若目标为鬼怪则造成的伤害加倍且消耗其全部刚炁</t>
  </si>
  <si>
    <t>随机获得2个键</t>
  </si>
  <si>
    <t>↑←↑↓</t>
  </si>
  <si>
    <t>红湃华雾</t>
  </si>
  <si>
    <t>对目标造成130%技的伤害</t>
  </si>
  <si>
    <t>刚炁+20，本回合下次术杀式威力增加15的百分比</t>
  </si>
  <si>
    <t>↓←←→</t>
  </si>
  <si>
    <t>穿心煞</t>
  </si>
  <si>
    <t>招式的玄炁消耗转为当前60%，至多60</t>
  </si>
  <si>
    <t>对目标造成135%技的伤害，施加3层寒沁状态</t>
  </si>
  <si>
    <t>野火</t>
  </si>
  <si>
    <t>对目标造成125%技的伤害，50%概率对自身造成30%技的伤害</t>
  </si>
  <si>
    <t>刚炁+25</t>
  </si>
  <si>
    <t>云螭一现</t>
  </si>
  <si>
    <t>招式的玄炁消耗转为当前70%，至多70，获得2层缓速</t>
  </si>
  <si>
    <t>对目标造成100%技的伤害，施加2层刚屏且造成的伤害增加50%</t>
  </si>
  <si>
    <t>施加2层刚屏</t>
  </si>
  <si>
    <t>薄暗虹霓</t>
  </si>
  <si>
    <t>对目标造成125%技的伤害，若目标的刚炁低于40则施加1层技式禁状态</t>
  </si>
  <si>
    <t>↑←↓</t>
  </si>
  <si>
    <t>月升</t>
  </si>
  <si>
    <t>玄炁大于目标刚炁则威力增加10百分比</t>
  </si>
  <si>
    <t>←↓</t>
  </si>
  <si>
    <t>净阳火</t>
  </si>
  <si>
    <t>招式的玄炁消耗转为当前50%，至多50</t>
  </si>
  <si>
    <t>对目标造成145%技的伤害</t>
  </si>
  <si>
    <t>若互为目标消耗双方10刚炁</t>
  </si>
  <si>
    <t>→↑↑→</t>
  </si>
  <si>
    <t>解术</t>
  </si>
  <si>
    <t>对目标造成110%技的伤害，获得30%技的护体状态</t>
  </si>
  <si>
    <t>获得3层心眼</t>
  </si>
  <si>
    <t>→↑←</t>
  </si>
  <si>
    <t>霜连天</t>
  </si>
  <si>
    <t>施加3层玄屏状态</t>
  </si>
  <si>
    <t>残月分江</t>
  </si>
  <si>
    <t>招式的玄炁消耗转为当前90%，至多90</t>
  </si>
  <si>
    <t>对目标造成125%技的伤害，至少造成80%技的伤害时返还消耗的键</t>
  </si>
  <si>
    <t>←↓↓→</t>
  </si>
  <si>
    <t>追魂破</t>
  </si>
  <si>
    <t>重新在敌手中随机选择行动目标，行动加快1息或延迟1息，招式的玄炁消耗转为当前70%，至多70</t>
  </si>
  <si>
    <t>对目标造成140%技的伤害，施加1层过劲状态</t>
  </si>
  <si>
    <t>送长离</t>
  </si>
  <si>
    <t>对目标造成130%技的伤害，消耗目标剩余行动次数等量的键（至多2）</t>
  </si>
  <si>
    <t>↓→→</t>
  </si>
  <si>
    <t>蕃寰曲（中）</t>
  </si>
  <si>
    <t>过阴</t>
  </si>
  <si>
    <t>萨么通幽</t>
  </si>
  <si>
    <t>走旱势</t>
  </si>
  <si>
    <t>对目标造成125%技的伤害，施加3层赤沸状态</t>
  </si>
  <si>
    <t>消耗目标25玄炁</t>
  </si>
  <si>
    <t>对目标造成165%技的伤害，若目标体大于自身则恢复伤害量一半的体，若目标体小于自身则再造成伤害量一半的伤害</t>
  </si>
  <si>
    <t>刚炁+70</t>
  </si>
  <si>
    <t>←←→→</t>
  </si>
  <si>
    <t>对目标造成120%技的伤害，恢复本回合受到伤害30%的体</t>
  </si>
  <si>
    <t>玄炁+10</t>
  </si>
  <si>
    <t>↑↓↓</t>
  </si>
  <si>
    <t>吮吸生机</t>
  </si>
  <si>
    <t>对目标造成160%技的伤害，扣除其15%全部属性并增加等量的属性，消耗其20刚炁20玄炁并增加等量的炁</t>
  </si>
  <si>
    <t>仅能对存在10层毒瘴状态的敌手使用</t>
  </si>
  <si>
    <t>死气纠缠</t>
  </si>
  <si>
    <t>若目标毒瘴状态层数低于自身则威力增加20的百分比</t>
  </si>
  <si>
    <t>凋零</t>
  </si>
  <si>
    <t>对目标造成120%技的伤害，施加随机按键的1层封穴状态和1层过劲状态</t>
  </si>
  <si>
    <t>若敌手的毒瘴状态层数不低于自身则不会被敌手破招</t>
  </si>
  <si>
    <t>夜盖胧刀</t>
  </si>
  <si>
    <t>对目标造成140%技的伤害，施加3层破绽状态</t>
  </si>
  <si>
    <t>若时段为夜则玄炁消耗减少5</t>
  </si>
  <si>
    <t>←←→</t>
  </si>
  <si>
    <t>若互为目标且目标招式未带有↓键则本次行动不会被破招</t>
  </si>
  <si>
    <t>本次行动不会被招式未带有↓键的敌手破招</t>
  </si>
  <si>
    <t>天汉落子</t>
  </si>
  <si>
    <t>对目标造成150%技的伤害，随机封锁目标两个键直到回合结束</t>
  </si>
  <si>
    <t>获得3层心眼状态和3层巧增状态</t>
  </si>
  <si>
    <t>若时段为昼则炁的消耗改为刚炁</t>
  </si>
  <si>
    <t>↓→↓</t>
  </si>
  <si>
    <t>一流散功</t>
  </si>
  <si>
    <t>碎琉璃</t>
  </si>
  <si>
    <t>施加等同目标行动招式包含的键数量的伤口状态</t>
  </si>
  <si>
    <t>↓↑→→</t>
  </si>
  <si>
    <t>异道载</t>
  </si>
  <si>
    <t>道合清一</t>
  </si>
  <si>
    <t>招式的玄炁消耗转为当前100%，至多100</t>
  </si>
  <si>
    <t>获得5层巧增</t>
  </si>
  <si>
    <t>对目标造成160%技的伤害，造成的伤害不会被削减</t>
  </si>
  <si>
    <t>刚炁+当前100%（至少30）</t>
  </si>
  <si>
    <t>玄炁与刚炁相同时可使用</t>
  </si>
  <si>
    <t>元真门</t>
  </si>
  <si>
    <t>三丹炎</t>
  </si>
  <si>
    <t>对目标造成150%技的伤害，施加3层破绽状态和3层失衡状态</t>
  </si>
  <si>
    <t>拒之千里</t>
  </si>
  <si>
    <t>清除自身1层异常状态</t>
  </si>
  <si>
    <t>获得1层避殃状态</t>
  </si>
  <si>
    <t>催器</t>
  </si>
  <si>
    <t>→</t>
  </si>
  <si>
    <t>律令风行</t>
  </si>
  <si>
    <t>获得1层迅速</t>
  </si>
  <si>
    <t>造成120%技的伤害</t>
  </si>
  <si>
    <t>每次使用该招式威力增加10的百分比且获得的迅速状态增加1层、玄消耗增加20；每消耗1个键减少5玄炁消耗但不会低于{[int]}（10+使用次数*5）直到下次使用</t>
  </si>
  <si>
    <t>天公道</t>
  </si>
  <si>
    <t>阴流杀</t>
  </si>
  <si>
    <t>对目标造成110%技的伤害，单方面攻击施加3层赤沸状态，若目标本回合还未行动过则额外施加2层赤沸状态</t>
  </si>
  <si>
    <t>比</t>
  </si>
  <si>
    <t>造成%技的伤害</t>
  </si>
  <si>
    <t>键组大小相同则跳过本次行动，反之对手跳过行动</t>
  </si>
  <si>
    <t>大小排序：其他＜相同键*2＜不同键*3＜相同键*3＜两对相同键＜不同键*4＜相同键*4</t>
  </si>
  <si>
    <t>碰</t>
  </si>
  <si>
    <t>比大小，键组更小的跳过本次行动</t>
  </si>
  <si>
    <t>造成120%技的伤害，施加5层刚屏状态</t>
  </si>
  <si>
    <t>行动后若有行动次数则消耗并在下一息重复该行动（目标优先为本次行动的目标）</t>
  </si>
  <si>
    <t>←→←→</t>
  </si>
  <si>
    <t>获得1层心眼状态</t>
  </si>
  <si>
    <t>造成130%技的伤害</t>
  </si>
  <si>
    <t>使用后下次所需的键随机变化（1～4个随机的键）</t>
  </si>
  <si>
    <t>造成110%技的伤害，每造成40%力的伤害施加1层缓速</t>
  </si>
  <si>
    <t>造成145%技的伤害，施加2层破绽</t>
  </si>
  <si>
    <t>获得4个随机的键，三息内其余友方行动后获得4个随机的键，每个角色仅可触发一次</t>
  </si>
  <si>
    <t>羽化身状态至少持续至第4次行动时可使用</t>
  </si>
  <si>
    <t>佯攻</t>
  </si>
  <si>
    <t>对目标造成100%力的伤害</t>
  </si>
  <si>
    <t>三段式</t>
  </si>
  <si>
    <t>对目标造成120%力的伤害</t>
  </si>
  <si>
    <t>玄炁+30</t>
  </si>
  <si>
    <t>攻敌式</t>
  </si>
  <si>
    <t>对目标造成140%力的伤害</t>
  </si>
  <si>
    <t>玄炁+90</t>
  </si>
  <si>
    <t>试探试探</t>
  </si>
  <si>
    <t>招式的刚炁消耗转为当前30%，至多30</t>
  </si>
  <si>
    <t>玄炁+当前30%（至少9）</t>
  </si>
  <si>
    <t>迎面对敌</t>
  </si>
  <si>
    <t>招式的刚炁消耗转为当前40%，至多40</t>
  </si>
  <si>
    <t>对目标造成110%力的伤害</t>
  </si>
  <si>
    <t>玄炁+当前40%（至少12）</t>
  </si>
  <si>
    <t>倾力打击</t>
  </si>
  <si>
    <t>招式的刚炁消耗转为当前70%，至多70</t>
  </si>
  <si>
    <t>对目标造成125%力的伤害</t>
  </si>
  <si>
    <t>玄炁+当前70%（至少21）</t>
  </si>
  <si>
    <t>迅攻</t>
  </si>
  <si>
    <t>本次行动加快2息</t>
  </si>
  <si>
    <t>折燕</t>
  </si>
  <si>
    <t>招式的刚炁消耗转为当前60%，至多60</t>
  </si>
  <si>
    <t>2息内获得1层回避状态（下一息结束后清除1层回避状态）</t>
  </si>
  <si>
    <t>→→←</t>
  </si>
  <si>
    <t>穷追猛打</t>
  </si>
  <si>
    <t>→→→→</t>
  </si>
  <si>
    <t>贴身向前</t>
  </si>
  <si>
    <t>玄炁+10，获得一层反击状态</t>
  </si>
  <si>
    <t>↑→←</t>
  </si>
  <si>
    <t>蓄势待发</t>
  </si>
  <si>
    <t>到下个回合前持续该行动，下个回合释放破竹</t>
  </si>
  <si>
    <t>→←↑→</t>
  </si>
  <si>
    <t>破竹</t>
  </si>
  <si>
    <t>对目标造成160%力的伤害，造成的伤害增加50%，施加10层失衡状态</t>
  </si>
  <si>
    <t>玄炁+20，本回合扣除1次行动次数</t>
  </si>
  <si>
    <t>洪钟</t>
  </si>
  <si>
    <t>招式的刚炁消耗转为当前60%，至多60，获得1层缓速</t>
  </si>
  <si>
    <t>对目标造成130%力的伤害，消耗全部护体层数增加等量伤害，施加3层失衡状态</t>
  </si>
  <si>
    <t>→←↑↓</t>
  </si>
  <si>
    <t>拔山</t>
  </si>
  <si>
    <t>招式的刚炁消耗转为当前50%，至多50</t>
  </si>
  <si>
    <t>芟荑</t>
  </si>
  <si>
    <t>对目标造成150%力的伤害,首次造成击破返还全部刚炁消耗</t>
  </si>
  <si>
    <t>泊风刀法</t>
  </si>
  <si>
    <t>掷物</t>
  </si>
  <si>
    <t>↑</t>
  </si>
  <si>
    <t>点穴</t>
  </si>
  <si>
    <t>对目标造成80%力的伤害，施加随机按键的2层封穴</t>
  </si>
  <si>
    <t>弹刹</t>
  </si>
  <si>
    <t>对目标造成75%力的伤害</t>
  </si>
  <si>
    <t>金真妙法（中）</t>
  </si>
  <si>
    <t>妙手空空</t>
  </si>
  <si>
    <t>对目标造成50%力的伤害,窃取目标一种消耗品</t>
  </si>
  <si>
    <t>金真妙法（前中）</t>
  </si>
  <si>
    <t>太极</t>
  </si>
  <si>
    <t>若互为目标则本次行动的力倍率按照目标杀式的基础威力50%提高</t>
  </si>
  <si>
    <t>超一流</t>
  </si>
  <si>
    <t>生死渡</t>
  </si>
  <si>
    <t>对目标造成150%力的伤害</t>
  </si>
  <si>
    <t>每损失1%体减少该招式1刚炁消耗直到下次释放</t>
  </si>
  <si>
    <t>掠捕</t>
  </si>
  <si>
    <t>对目标造成115%力的伤害，造成伤害时穿透目标总体50%防</t>
  </si>
  <si>
    <t>悲海徊浪</t>
  </si>
  <si>
    <t>反击</t>
  </si>
  <si>
    <t>如骑</t>
  </si>
  <si>
    <t>对目标造成130%力的伤害</t>
  </si>
  <si>
    <t>雷家功</t>
  </si>
  <si>
    <t>龙游雷</t>
  </si>
  <si>
    <t>获得3层雷行</t>
  </si>
  <si>
    <t>舍我</t>
  </si>
  <si>
    <t>对目标造成135%力的伤害</t>
  </si>
  <si>
    <t>每损失2%体减少该招式1刚炁消耗</t>
  </si>
  <si>
    <t>←↑↓</t>
  </si>
  <si>
    <t>苦既吾身</t>
  </si>
  <si>
    <t>对目标造成155%力的伤害，对自身造成50%造成的伤害</t>
  </si>
  <si>
    <t>玄炁+当前50%（至少15）</t>
  </si>
  <si>
    <t>绊手拌脚</t>
  </si>
  <si>
    <t>对目标造成120%力的伤害，随机减少目标2个键</t>
  </si>
  <si>
    <t>→↑←↓</t>
  </si>
  <si>
    <t>横蛮断骨</t>
  </si>
  <si>
    <t>对目标造成130%力的伤害，施加2层力衰</t>
  </si>
  <si>
    <t>莽袭</t>
  </si>
  <si>
    <t>招式的刚炁消耗转为当前80%，至多80</t>
  </si>
  <si>
    <t>获得4层力衰</t>
  </si>
  <si>
    <t>→↓↑</t>
  </si>
  <si>
    <t>炁乱筋伤</t>
  </si>
  <si>
    <t>对目标造成110%力的伤害，至少造成55%力的伤害时施加2层武衰</t>
  </si>
  <si>
    <t>开口子</t>
  </si>
  <si>
    <t>对目标造成105%力的伤害，施加2层伤口</t>
  </si>
  <si>
    <t>对目标造成%力的伤害，</t>
  </si>
  <si>
    <t>若持有2个↓键则将其消耗并在下一息重复该行动</t>
  </si>
  <si>
    <t>获得1层断筋式</t>
  </si>
  <si>
    <t>施加2层力衰</t>
  </si>
  <si>
    <t>天下一剑</t>
  </si>
  <si>
    <t>对目标造成200%力的伤害</t>
  </si>
  <si>
    <t>→→</t>
  </si>
  <si>
    <t>获得1层御敌式</t>
  </si>
  <si>
    <t>对目标造成105%力的伤害</t>
  </si>
  <si>
    <t>冥降</t>
  </si>
  <si>
    <t>对目标造成110%力的伤害，未产生交锋则恢复伤害等量的体</t>
  </si>
  <si>
    <t>若互为目标且目标未带有↑类留劲状态则招式威力增加50的百分比</t>
  </si>
  <si>
    <t>→→↓←</t>
  </si>
  <si>
    <t>同灾</t>
  </si>
  <si>
    <t>对目标造成125%力的伤害，施加至多2个自身持有的异常状态</t>
  </si>
  <si>
    <t>每获得过一个异常状态减少该招式10刚炁消耗，使用后恢复</t>
  </si>
  <si>
    <t>嚣风辗</t>
  </si>
  <si>
    <t>在下一息重复该行动，至多重复1次</t>
  </si>
  <si>
    <t>威力增加效果不超过30的百分比则该招式下次释放视为回合首次行动</t>
  </si>
  <si>
    <t>虎烈袭</t>
  </si>
  <si>
    <t>对目标造成125%力的伤害，施加3层缓速和3层刚屏</t>
  </si>
  <si>
    <t>持有的键的数量大于5时可使用</t>
  </si>
  <si>
    <t>→↓←</t>
  </si>
  <si>
    <t>极百炼</t>
  </si>
  <si>
    <t>对目标造成150%力的伤害，获得3层武增状态和3层术增状态</t>
  </si>
  <si>
    <t>持有的键的数量大于9时可使用</t>
  </si>
  <si>
    <t>→↓←↑</t>
  </si>
  <si>
    <t>对目标造成120%力的伤害，未产生交锋则恢复伤害等量的体</t>
  </si>
  <si>
    <t>死斗</t>
  </si>
  <si>
    <t>胜者返还招式消耗的键</t>
  </si>
  <si>
    <t>→→↓</t>
  </si>
  <si>
    <t>空神</t>
  </si>
  <si>
    <t>获得4层刚屏</t>
  </si>
  <si>
    <t>持有2个→键和1个←键时可使用</t>
  </si>
  <si>
    <t>戏目</t>
  </si>
  <si>
    <t>施加1层盲目状态</t>
  </si>
  <si>
    <t>↑→→</t>
  </si>
  <si>
    <t>以牙还牙</t>
  </si>
  <si>
    <t>获得3层力衰</t>
  </si>
  <si>
    <t>↑↓↓←</t>
  </si>
  <si>
    <t>枯芒乍秋</t>
  </si>
  <si>
    <t>玄炁+25，下一息开始获得1层避殃状态</t>
  </si>
  <si>
    <t>庇身雷</t>
  </si>
  <si>
    <t>伏猿拜山</t>
  </si>
  <si>
    <t>造成130%伤害并施加1层缓速获得2层力衰和1层刚聚</t>
  </si>
  <si>
    <t>如果至少造成了%力的伤害则在下1息重复该行动，至多重复2次。</t>
  </si>
  <si>
    <t>黑手</t>
  </si>
  <si>
    <t>本次行动加快1息</t>
  </si>
  <si>
    <t>对目标造成115%力的伤害，未产生交锋则施加1层失衡</t>
  </si>
  <si>
    <t>夺梢</t>
  </si>
  <si>
    <t>对目标造成60%力的伤害,施加1层伤口状态</t>
  </si>
  <si>
    <t>玄炁+25</t>
  </si>
  <si>
    <t>铁掣</t>
  </si>
  <si>
    <t>玄炁+35</t>
  </si>
  <si>
    <t>急乱冲撞</t>
  </si>
  <si>
    <t>解除自身2个负面状态</t>
  </si>
  <si>
    <t>对目标造成145%力的伤害，施加1层晕眩状态</t>
  </si>
  <si>
    <t>获得1层晕眩状态</t>
  </si>
  <si>
    <t>猛烈压铸</t>
  </si>
  <si>
    <t>本回合未受到过2次直接伤害本次行动不会被破招</t>
  </si>
  <si>
    <t>对目标造成155%力的伤害，施加1层晕眩状态</t>
  </si>
  <si>
    <t>→→↓↓</t>
  </si>
  <si>
    <t>排开</t>
  </si>
  <si>
    <t>获得3层避殃状态</t>
  </si>
  <si>
    <t>对目标造成140%力的伤害，解除目标2个增益状态</t>
  </si>
  <si>
    <t>铁爪功</t>
  </si>
  <si>
    <t>对目标造成120%力的伤害，施加1层盲目状态</t>
  </si>
  <si>
    <t>↓→↓↓</t>
  </si>
  <si>
    <t>猛虎下山</t>
  </si>
  <si>
    <t>招式的玄炁消耗转为当前80%，至多80</t>
  </si>
  <si>
    <t>对目标造成145%力的伤害</t>
  </si>
  <si>
    <t>获得1层武增状态</t>
  </si>
  <si>
    <t>飞花落</t>
  </si>
  <si>
    <t>对目标造成130%力的伤害，施加1层伤口状态</t>
  </si>
  <si>
    <t>触发3次目标的伤口效果</t>
  </si>
  <si>
    <t>破镜</t>
  </si>
  <si>
    <t>招式的刚炁消耗转为当前70%，至多70，本次行动延迟2息</t>
  </si>
  <si>
    <t>←↓→</t>
  </si>
  <si>
    <t>大鱼上钩</t>
  </si>
  <si>
    <t>对目标造成145%力的伤害，至少造成100%力的伤害时总体减少其15%防</t>
  </si>
  <si>
    <t>→←↑↑</t>
  </si>
  <si>
    <t>罴袭式</t>
  </si>
  <si>
    <t>对目标造成135%力的伤害，至少造成80%力的伤害时施加2层破绽状态</t>
  </si>
  <si>
    <t>←↑↓↓</t>
  </si>
  <si>
    <t>降神一击</t>
  </si>
  <si>
    <t>若得胜则在下一息以随机敌手为目标重复该行动</t>
  </si>
  <si>
    <t>一绽红昙</t>
  </si>
  <si>
    <t>对目标造成145%力的伤害，根据目标的伤口状态层数造成3~8次伤口效果</t>
  </si>
  <si>
    <t>随机消耗目标等同其持有的伤口状态层数的键</t>
  </si>
  <si>
    <t>回合开始减少该招式10刚炁消耗，使用后本次战斗无法再次使用</t>
  </si>
  <si>
    <t>→→↑↓→</t>
  </si>
  <si>
    <t>血涌天</t>
  </si>
  <si>
    <t>获得4层伤口状态和2层武增状态</t>
  </si>
  <si>
    <t>施加2层伤口状态2次</t>
  </si>
  <si>
    <t>沉舟擒钩</t>
  </si>
  <si>
    <t>获得2层急速状态</t>
  </si>
  <si>
    <t>↓↓→</t>
  </si>
  <si>
    <t>天罗地网</t>
  </si>
  <si>
    <t>目标未剩余行动次数则施加2层破绽</t>
  </si>
  <si>
    <t>对目标造成105%力的伤害，施加1层僵硬状态</t>
  </si>
  <si>
    <t>断潮索</t>
  </si>
  <si>
    <t>对目标造成125%力的伤害，移除目标1个增益状态</t>
  </si>
  <si>
    <t>施加1层失持状态</t>
  </si>
  <si>
    <t>←←↓→</t>
  </si>
  <si>
    <t>黑舸翻波</t>
  </si>
  <si>
    <t>获得1层反击状态</t>
  </si>
  <si>
    <t>↓→→↑</t>
  </si>
  <si>
    <t>移花接木</t>
  </si>
  <si>
    <t>以随机的已装配招式作为本招式的行为意图展示（非变式），直到发生交锋或单方面行动时。</t>
  </si>
  <si>
    <t>从已装配的武杀式（非变式）中随机复制一项满足释放条件的招式的全部效果（包括消耗），从而向目标释放</t>
  </si>
  <si>
    <t>金真妙法（中后）</t>
  </si>
  <si>
    <t>止嚣</t>
  </si>
  <si>
    <t>获得1层心眼状态和1层避殃状态</t>
  </si>
  <si>
    <t>对目标造成160%力的伤害，消耗目标刚炁与玄炁中最高一项的50%（至多50）</t>
  </si>
  <si>
    <t>本次行动不影响增益状态的存续</t>
  </si>
  <si>
    <t>存在化身类状态可使用</t>
  </si>
  <si>
    <t>↑→</t>
  </si>
  <si>
    <t>寸兵释武</t>
  </si>
  <si>
    <t>该招式威力增减效果翻倍</t>
  </si>
  <si>
    <t>清除全部武增状态，若处于兽化身状态则不会清除武增状态</t>
  </si>
  <si>
    <t>对目标造成155%力的伤害，至少造成100%力的伤害时刚炁+50</t>
  </si>
  <si>
    <t>↓↑↑→</t>
  </si>
  <si>
    <t>对目标造成145%力的伤害，施加2层盲目状态</t>
  </si>
  <si>
    <t>↓←↓↑</t>
  </si>
  <si>
    <t>回合内受到的全部伤害在下个回合开始时才会生效</t>
  </si>
  <si>
    <t>对目标造成160%力的伤害，获得3层武增状态</t>
  </si>
  <si>
    <t>清除全部兽化身状态</t>
  </si>
  <si>
    <t>对目标造成150%力的伤害，施加1层失衡状态</t>
  </si>
  <si>
    <t>获得4层兽化身状态</t>
  </si>
  <si>
    <t>兽化身状态至少持续至第4次行动时可使用</t>
  </si>
  <si>
    <t>暗喑</t>
  </si>
  <si>
    <t>对目标造成130%力的伤害，未产生交锋则施加1层法式禁状态和2层术衰状态</t>
  </si>
  <si>
    <t>对目标造成125%力的伤害，未产生交锋则施加2层技式禁</t>
  </si>
  <si>
    <t>带有迅速状态可使用</t>
  </si>
  <si>
    <t>→↑↑</t>
  </si>
  <si>
    <t>移祸</t>
  </si>
  <si>
    <t>对目标造成130%力的伤害，至多转移2个异常状态</t>
  </si>
  <si>
    <t>交锋失败下次释放将转移全部异常状态</t>
  </si>
  <si>
    <t>拦腰截断</t>
  </si>
  <si>
    <t>撼地</t>
  </si>
  <si>
    <t>对全部敌手造成100%力的伤害，施加2层失持状态，本回合扣除1次行动次数</t>
  </si>
  <si>
    <t>消耗敌手2个键</t>
  </si>
  <si>
    <t>胡抓乱挠</t>
  </si>
  <si>
    <t>若带有增益状态则在下一息将以随机目标重复该行动，至多重复1次</t>
  </si>
  <si>
    <t>当头猛击</t>
  </si>
  <si>
    <t>对目标造成145%力的伤害，自身异常状态未超过2个则施加1层晕眩状态</t>
  </si>
  <si>
    <t>狠咬不放</t>
  </si>
  <si>
    <t>对目标造成115%力的伤害并获得1层武增状态，受威力增减效果2倍</t>
  </si>
  <si>
    <t>狂莽挥击</t>
  </si>
  <si>
    <t>对目标造成135%力的伤害，根据体的百分比损失1：2百分比增加至多100%伤害，增伤不会低于毒瘴状态层数*10%</t>
  </si>
  <si>
    <t>扬雾</t>
  </si>
  <si>
    <t>对目标造成125%力的伤害，施加2层缓速</t>
  </si>
  <si>
    <t>双方毒瘴状态层数最高者获得2层毒瘴状态</t>
  </si>
  <si>
    <t>炁洪东隅</t>
  </si>
  <si>
    <t>对目标造成120%力的伤害，若时段为昼则威力增加10的百分比</t>
  </si>
  <si>
    <t>晴澜九耀</t>
  </si>
  <si>
    <t>在本回合将时段变为昼</t>
  </si>
  <si>
    <t>对目标造成175%力的伤害，在本回合将天气变为晴</t>
  </si>
  <si>
    <t>本次战斗刚炁的自然恢复不会低于25</t>
  </si>
  <si>
    <t>迟踱廿四淋</t>
  </si>
  <si>
    <t>对目标造成90%力的伤害，根据目标当前体百分比等量提升至多100%伤害</t>
  </si>
  <si>
    <t>回合开始该招式威力增加10的百分比直到下一次释放，天气为雨则招式威力再次增加10的百分比</t>
  </si>
  <si>
    <t>天泪八技</t>
  </si>
  <si>
    <t>留情剑</t>
  </si>
  <si>
    <t>对目标造成170%力的伤害，目标体低于折前伤害则不造成伤害而是直接扣除全部体</t>
  </si>
  <si>
    <t>若互为目标且目标招式未带有↑键则招式威力增加50的百分比</t>
  </si>
  <si>
    <t>交锋成功补充宝器：裂隙甲片的炁</t>
  </si>
  <si>
    <t>对目标造成135%力的伤害，至多转移2个异常状态</t>
  </si>
  <si>
    <t>对目标造成150%力的伤害，自身异常状态未超过2个则施加1层晕眩状态</t>
  </si>
  <si>
    <t>对目标造成120%力的伤害并获得1层武增状态，受威力增减效果2倍</t>
  </si>
  <si>
    <t>对目标造成140%力的伤害，至多转移3个异常状态</t>
  </si>
  <si>
    <t>对目标造成175%力的伤害，每带有一个异常状态威力减少5的百分比</t>
  </si>
  <si>
    <t>对目标造成150%力的伤害，施加1层伤口状态</t>
  </si>
  <si>
    <t>对目标造成155%力的伤害，自身异常状态未超过2个则施加1层晕眩状态</t>
  </si>
  <si>
    <t>对目标造成125%力的伤害并获得1层武增状态，受威力增减效果2倍</t>
  </si>
  <si>
    <t>绿萝花开</t>
  </si>
  <si>
    <t>幻千笈</t>
  </si>
  <si>
    <t>对目标造成160%力的伤害，施加2层过劲状态且造成的伤害减少30%</t>
  </si>
  <si>
    <t>若本回合恢复过玄炁，</t>
  </si>
  <si>
    <t>施加3层力衰</t>
  </si>
  <si>
    <t>施加3层技衰</t>
  </si>
  <si>
    <t>获得2层力增</t>
  </si>
  <si>
    <t>对目标造成80%力的伤害，消耗目标1个键</t>
  </si>
  <si>
    <t>交锋失败下次释放将威力增加80的百分比</t>
  </si>
  <si>
    <t>在下1息友方首次以敌方作为行动目标行动后对其行动目标重复此招式</t>
  </si>
  <si>
    <t>↓↓→→</t>
  </si>
  <si>
    <t>傀摆戏</t>
  </si>
  <si>
    <t>惊鸿</t>
  </si>
  <si>
    <t>对目标造成5%力的伤害，每有一层迅速状态威力增15的百分比，造成伤害时穿透目标总体50%防</t>
  </si>
  <si>
    <t>玄炁+10，随机消耗1个键</t>
  </si>
  <si>
    <t>对目标造成130%力的伤害，获得1个随机的键</t>
  </si>
  <si>
    <t>目标威力大于140%则威力增加20的百分比</t>
  </si>
  <si>
    <t>若造成的伤害不大于100%力则在下个回合重复一次重复该行动，至多重复1次</t>
  </si>
  <si>
    <t>招式的刚炁消耗转为当前70%，至多70，若醉气层数超过5则改为随机目标释放xx（该招式）</t>
  </si>
  <si>
    <t>交锋时施加3层醉气状态</t>
  </si>
  <si>
    <t>行动后向双方施加2层醉气状态</t>
  </si>
  <si>
    <t>对目标造成165%力的伤害，释放时获得4层醉气与3层力增状态，施加3层破绽状态</t>
  </si>
  <si>
    <t>若醉气状态大于5层则获得晕眩状态</t>
  </si>
  <si>
    <t>炁转逆参</t>
  </si>
  <si>
    <t>对目标施加4层破绽</t>
  </si>
  <si>
    <t>←↓↑→</t>
  </si>
  <si>
    <t>六爻速断</t>
  </si>
  <si>
    <t>行动加快3息</t>
  </si>
  <si>
    <t>对全体对手施加1层破绽</t>
  </si>
  <si>
    <t>←↑→↓</t>
  </si>
  <si>
    <t>清神咒</t>
  </si>
  <si>
    <t>清除自身全部异常状态</t>
  </si>
  <si>
    <t>获得2个随机的键</t>
  </si>
  <si>
    <t>↓←↓</t>
  </si>
  <si>
    <t>藏身咒</t>
  </si>
  <si>
    <t>获得1层藏身</t>
  </si>
  <si>
    <t>隐魂咒</t>
  </si>
  <si>
    <t>获得1层隐魂</t>
  </si>
  <si>
    <t>借法</t>
  </si>
  <si>
    <t>获得4层借法</t>
  </si>
  <si>
    <t>阳挪步</t>
  </si>
  <si>
    <t>刚炁+32</t>
  </si>
  <si>
    <t>根据本次行动招式的二号键方向将自身卦位改变为对应阳卦直到下回合(↑坎↓乾←兑→震)</t>
  </si>
  <si>
    <t>←↑</t>
  </si>
  <si>
    <t>阴腾步</t>
  </si>
  <si>
    <t>玄炁+32</t>
  </si>
  <si>
    <t>根据本次行动招式的二号键方向将自身卦位改变为对应阴卦直到下回合（↑巽↓坤←艮→离）</t>
  </si>
  <si>
    <t>止水</t>
  </si>
  <si>
    <t>下个回合开始获得1次行动次数</t>
  </si>
  <si>
    <t>刚炁+15</t>
  </si>
  <si>
    <t>第五绝功</t>
  </si>
  <si>
    <t>毋言</t>
  </si>
  <si>
    <t>对目标施加5层法式禁</t>
  </si>
  <si>
    <t>化空</t>
  </si>
  <si>
    <t>本次行动延迟2息</t>
  </si>
  <si>
    <t>清除目标全部增益状态</t>
  </si>
  <si>
    <t>我身敷宵</t>
  </si>
  <si>
    <t>剑出</t>
  </si>
  <si>
    <t>本次行动加快3息</t>
  </si>
  <si>
    <t>获得3层敷宵剑</t>
  </si>
  <si>
    <t>←↑→</t>
  </si>
  <si>
    <t>烟云待</t>
  </si>
  <si>
    <t>溯流</t>
  </si>
  <si>
    <t>本回合使用过术杀式则玄炁+30</t>
  </si>
  <si>
    <t>↑↑↓</t>
  </si>
  <si>
    <t>燃息</t>
  </si>
  <si>
    <t>获得燃息1层状态</t>
  </si>
  <si>
    <t>牵丝引线</t>
  </si>
  <si>
    <t>若目标习有心法：勾牌人则将行动所在息调整为同一息</t>
  </si>
  <si>
    <t>若目标习有心法：勾牌人则使本回合其获得1次行动次数</t>
  </si>
  <si>
    <t>目标刚炁+10</t>
  </si>
  <si>
    <t>启符</t>
  </si>
  <si>
    <t>涅槃法</t>
  </si>
  <si>
    <t>本次行动延迟3息</t>
  </si>
  <si>
    <t>消耗全部的键，平均每消耗一个键玄炁+5并恢复x+GR*y体，若消耗的键大于5还会减少1层负面状态</t>
  </si>
  <si>
    <t>行字诀</t>
  </si>
  <si>
    <t>本次行动不影响状态的存续，获得1次行动次数</t>
  </si>
  <si>
    <t>获得6层稳势状态</t>
  </si>
  <si>
    <t>↓←↑</t>
  </si>
  <si>
    <t>乍起</t>
  </si>
  <si>
    <t>本次行动不会被未带有→类留劲状态的敌手破招</t>
  </si>
  <si>
    <t>获得3层力增状态3层技增状态，获得1次行动次数</t>
  </si>
  <si>
    <t>玄炁+9500</t>
  </si>
  <si>
    <t>获得5层力增状态5层技增状态，获得1次行动次数</t>
  </si>
  <si>
    <t>恶念</t>
  </si>
  <si>
    <t>对目标施加3层失衡状态和3层伤口状态</t>
  </si>
  <si>
    <t>双方随机获得2个键</t>
  </si>
  <si>
    <t>对目标施加5层失衡和5层伤口状态</t>
  </si>
  <si>
    <t>抽牌</t>
  </si>
  <si>
    <t>本次行动不会被破招，期间免疫杀式的直接伤害</t>
  </si>
  <si>
    <t>敌手获得5个键</t>
  </si>
  <si>
    <t>↑↑↑</t>
  </si>
  <si>
    <t>↓↓↓</t>
  </si>
  <si>
    <t>九息服气</t>
  </si>
  <si>
    <t>刚炁+20，玄炁+20，清除自身2个异常状态</t>
  </si>
  <si>
    <t>未在上一回合受到伤害可使用</t>
  </si>
  <si>
    <t>正立无影</t>
  </si>
  <si>
    <t>获得3层回避状态</t>
  </si>
  <si>
    <t>清除自身回避状态，获得1层匿形状态</t>
  </si>
  <si>
    <t>使用后需主动变换卦位3次后可再次使用</t>
  </si>
  <si>
    <t>沉嵩镇渊</t>
  </si>
  <si>
    <t>扭曲空间</t>
  </si>
  <si>
    <t>本次行动延迟2息，获得1层藏身状态和1层隐魂状态，行动的前2息内即将受到攻击将立即执行本次行动</t>
  </si>
  <si>
    <t>施加4层缓速状态</t>
  </si>
  <si>
    <t>椮立诀</t>
  </si>
  <si>
    <t>随机获得7个键</t>
  </si>
  <si>
    <t>未在本回合行动过可使用</t>
  </si>
  <si>
    <t>心体均一</t>
  </si>
  <si>
    <t>若持有的键低于3则随机获得键至5个</t>
  </si>
  <si>
    <t>共生咒</t>
  </si>
  <si>
    <t>对目标施加2层共生状态</t>
  </si>
  <si>
    <t>尽数回收</t>
  </si>
  <si>
    <t>获得本回合被使用的武杀式、技御式数量双倍的刚炁，获得本回合被使用的术杀式、法咒式数量双倍的玄炁</t>
  </si>
  <si>
    <t>墨刀</t>
  </si>
  <si>
    <t>醒墨</t>
  </si>
  <si>
    <t>本次行动加快2息，在平、彻、起三种状态中随机获得一种</t>
  </si>
  <si>
    <t>获得5层墨痕状态</t>
  </si>
  <si>
    <t>刚炁补充</t>
  </si>
  <si>
    <t>本次行动加快2息或延迟2息</t>
  </si>
  <si>
    <t>目标刚炁+35</t>
  </si>
  <si>
    <t>敌手获得3层刚屏</t>
  </si>
  <si>
    <t>玄炁补充</t>
  </si>
  <si>
    <t>目标玄炁+35</t>
  </si>
  <si>
    <t>敌手获得3层玄屏</t>
  </si>
  <si>
    <t>乱风咒</t>
  </si>
  <si>
    <t>消耗目标至多7个随机的键，若超过2个则根据消耗数量使其获得至少1至多5个随机的键并施加3层失衡</t>
  </si>
  <si>
    <t>消耗对手1个随机的键</t>
  </si>
  <si>
    <t>水行术</t>
  </si>
  <si>
    <t>在水域场景可使用，雨天时不再限制</t>
  </si>
  <si>
    <t>屏息凝神</t>
  </si>
  <si>
    <t>下次行动的刚炁消耗减少30</t>
  </si>
  <si>
    <t>巧来方计</t>
  </si>
  <si>
    <t>补充随机的键到达7个</t>
  </si>
  <si>
    <t>下一次术杀式的基础威力不会低于140%技（巧来方计状态）</t>
  </si>
  <si>
    <t>通窍</t>
  </si>
  <si>
    <t>获得5层玄聚状态</t>
  </si>
  <si>
    <t>巧+30，速+30</t>
  </si>
  <si>
    <t>对目标施加5层技衰状态和1层失衡状态</t>
  </si>
  <si>
    <t>施加5层技衰状态和1层失衡状态，若与杀式交锋则敌手因招式效果获得的炁-100</t>
  </si>
  <si>
    <t>祈咒</t>
  </si>
  <si>
    <t>扣除目标（100%技）的体</t>
  </si>
  <si>
    <t>扣除敌手（100%技）的体</t>
  </si>
  <si>
    <t>洞机衡</t>
  </si>
  <si>
    <t>玉摄念</t>
  </si>
  <si>
    <t>下一次行动中恢复刚炁时获得等量玄炁，恢复玄炁时获得等量刚炁（玉摄念状态）</t>
  </si>
  <si>
    <t>改头换面</t>
  </si>
  <si>
    <t>获得目标相同的全部增益状态和异常状态</t>
  </si>
  <si>
    <t>若双方持有戴面状态则与目标交换戴面状态</t>
  </si>
  <si>
    <t>直到下次行动前全部友方防额外提升50+RG*5</t>
  </si>
  <si>
    <t>直到下次行动前全部友方破额外提升50+RG*5</t>
  </si>
  <si>
    <t>直到下次行动前全部友方的力与技额外提升50+RG*5</t>
  </si>
  <si>
    <t>角入巫</t>
  </si>
  <si>
    <t>获得2层武增状态</t>
  </si>
  <si>
    <t>羽入巫</t>
  </si>
  <si>
    <t>获得4层禽化身状态</t>
  </si>
  <si>
    <t>获得2层迅速状态</t>
  </si>
  <si>
    <t>回合开始减少该招式5刚炁和5玄炁消耗直到下次释放</t>
  </si>
  <si>
    <t>血入巫</t>
  </si>
  <si>
    <t>获得4层祖化身状态</t>
  </si>
  <si>
    <t>获得2层术增状态</t>
  </si>
  <si>
    <t>每有一个角色被击破后减少该招式25玄炁消耗直到下次释放</t>
  </si>
  <si>
    <t>扣除其余在场角色体上限160+GR*32，自身增加等量的体上限</t>
  </si>
  <si>
    <t>获得1次行动次数，玄炁+5</t>
  </si>
  <si>
    <t>交蚀</t>
  </si>
  <si>
    <t>若持有刚炁大于玄炁则玄炁+25并获得2层武增状态，若持有刚炁小于玄炁则刚炁+25并获得2层术增状态，持有刚炁与玄炁持平则获得5层武增和5层玄增状态和5层巧增状态</t>
  </si>
  <si>
    <t>鬼神调</t>
  </si>
  <si>
    <t>全部友方获得1层心眼状态和2层巧增状态</t>
  </si>
  <si>
    <t>对目标施加2层武式禁和2层术式禁</t>
  </si>
  <si>
    <t>↓←↑→</t>
  </si>
  <si>
    <t>大风天</t>
  </si>
  <si>
    <t>全部角色获得1层回避状态</t>
  </si>
  <si>
    <t>使用后需行动3次后才可再次使用</t>
  </si>
  <si>
    <t>夔雷并涡</t>
  </si>
  <si>
    <t>自身与目标获得3层武增状态和2层雷行</t>
  </si>
  <si>
    <t>自身与目标下个回合开始获得本回结束时等量的力增状态</t>
  </si>
  <si>
    <t>施加5层玄屏状态，减少其20防</t>
  </si>
  <si>
    <t>本次行动持续到下一次行动，期间每息扣除目标（12%技）体，一个回合至多8次</t>
  </si>
  <si>
    <t>嘶哑嚎叫</t>
  </si>
  <si>
    <t>对目标施加3层武衰状态和4层玄屏状态和1层失衡状态</t>
  </si>
  <si>
    <t>喷吐瘴气</t>
  </si>
  <si>
    <t>施加3层毒瘴状态和5层赤沸状态</t>
  </si>
  <si>
    <t>双方获得1层毒瘴状态</t>
  </si>
  <si>
    <t>躯壳胀破</t>
  </si>
  <si>
    <t>扣除全部毒瘴状态向全部敌手施加1层毒瘴状态与2层伤口状态</t>
  </si>
  <si>
    <t>洗兵雨</t>
  </si>
  <si>
    <t>体未有损失时可使用</t>
  </si>
  <si>
    <t>本次行动不会被招式未带有→键的敌手破招</t>
  </si>
  <si>
    <t>玄炁+5</t>
  </si>
  <si>
    <t>消耗敌手2个随机的键</t>
  </si>
  <si>
    <t>对目标施加5层失衡状态和5层伤口状态</t>
  </si>
  <si>
    <t>对目标施加4层武衰状态和5层玄屏状态和1层失衡状态</t>
  </si>
  <si>
    <t>对目标施加5层武衰状态和5层玄屏状态和2层失衡状态</t>
  </si>
  <si>
    <t>紫烟贯虚合炁法</t>
  </si>
  <si>
    <t>玄炁+30，获得2层借法</t>
  </si>
  <si>
    <t>刚炁与玄炁取平均值更变</t>
  </si>
  <si>
    <t>悬旌摄斗</t>
  </si>
  <si>
    <t>目标下回合刚炁自然恢复不会低于35，自身下回合玄炁自然恢复不会低于35</t>
  </si>
  <si>
    <t>↑↑←↓</t>
  </si>
  <si>
    <t>本次行动不会被武杀式破招</t>
  </si>
  <si>
    <t>全部友方获得50%技的护体状态和1层缓速</t>
  </si>
  <si>
    <t>隐地回八术</t>
  </si>
  <si>
    <t>玄炁增加至35</t>
  </si>
  <si>
    <t>手捧雷</t>
  </si>
  <si>
    <t>最后一个行动的角色行动后受到150%技的伤害，并获得3层力衰和1层破绽</t>
  </si>
  <si>
    <t>与杀式交锋则敌手受到150%技的伤害，施加3层力衰和1层破绽</t>
  </si>
  <si>
    <t>3息内行动的敌手行动时受到80%技的伤害并获得3层玄屏状态</t>
  </si>
  <si>
    <t>3息内全部的角色无法恢复刚炁，且行动的敌手获得4层赤沸状态</t>
  </si>
  <si>
    <t>搅线</t>
  </si>
  <si>
    <t>若目标行动已揭示,为杀式则施加1层盲目状态，非杀式则施加3层玄屏刚屏</t>
  </si>
  <si>
    <t>获得4个随机的键</t>
  </si>
  <si>
    <t>目标刚炁+5，玄炁+5，施加3层回春状态</t>
  </si>
  <si>
    <t>丹经脉录</t>
  </si>
  <si>
    <t>使目标恢复20%已损体并消除2个减益状态</t>
  </si>
  <si>
    <t>使用后本次战斗无法再次使用</t>
  </si>
  <si>
    <t>清除目标全部增益状态并施加4层昏沉状态</t>
  </si>
  <si>
    <t>仅能对3回合之前杀式过的角色使用，使用后清除全部累计</t>
  </si>
  <si>
    <t>获得3层稳势</t>
  </si>
  <si>
    <t>获得3层巧增</t>
  </si>
  <si>
    <t>获得1次行动次数，下次行动加快10息</t>
  </si>
  <si>
    <t>桑榆现</t>
  </si>
  <si>
    <t>在本息将时段变为夜</t>
  </si>
  <si>
    <t>熏饮西风</t>
  </si>
  <si>
    <t>若醉气状态不大于5则获得2个随机的键，不小于5则改为释放迎酌北风</t>
  </si>
  <si>
    <t>三个回合内每次行动后对自身施加1层醉气状态（不可叠加的3回合buff）</t>
  </si>
  <si>
    <t>玄炁+25，获得1层迅速状态</t>
  </si>
  <si>
    <t>迎酌北风</t>
  </si>
  <si>
    <t>若醉气状态不大于5则获得2个随机的键，若醉气状态大于5则改为释放熏饮西风</t>
  </si>
  <si>
    <t>刚炁+25，获得1层迅速状态</t>
  </si>
  <si>
    <t>本次行动不会被杀式破招</t>
  </si>
  <si>
    <t>本次战斗术杀式威力增加15</t>
  </si>
  <si>
    <t>扣除全部玄炁，玄炁上限减少30</t>
  </si>
  <si>
    <t>玄炁大于90时才可使用</t>
  </si>
  <si>
    <t>本次行动持续到下一次行动，期间每息扣除目标2玄炁，一个回合至多8次</t>
  </si>
  <si>
    <t>非派式</t>
  </si>
  <si>
    <t>派式</t>
  </si>
  <si>
    <t>特殊</t>
  </si>
  <si>
    <t>四象形意（4）</t>
  </si>
  <si>
    <t>金真妙法</t>
  </si>
  <si>
    <t>蕃寰曲</t>
  </si>
  <si>
    <t>后期</t>
  </si>
  <si>
    <t>中后期</t>
  </si>
  <si>
    <t>泊风刀法（1）</t>
  </si>
  <si>
    <t>天泪八技（1）</t>
  </si>
  <si>
    <t>中期</t>
  </si>
  <si>
    <t>空青阁</t>
  </si>
  <si>
    <t>前中期</t>
  </si>
  <si>
    <t>血霞秘功◈</t>
  </si>
  <si>
    <t>前期</t>
  </si>
  <si>
    <t>野法乱术◈</t>
  </si>
  <si>
    <t>渔术◈</t>
  </si>
  <si>
    <t>初始</t>
  </si>
  <si>
    <t>强度模型</t>
  </si>
  <si>
    <t>低</t>
  </si>
  <si>
    <t>高</t>
  </si>
  <si>
    <t>键规律</t>
  </si>
  <si>
    <t>包含</t>
  </si>
  <si>
    <t>防御类</t>
  </si>
  <si>
    <t>恢复炁</t>
  </si>
  <si>
    <t>加速度</t>
  </si>
  <si>
    <t>消耗</t>
  </si>
  <si>
    <t>10~20</t>
  </si>
  <si>
    <t>30~40</t>
  </si>
  <si>
    <t>45~60</t>
  </si>
  <si>
    <t>技能效果</t>
  </si>
  <si>
    <t>出现</t>
  </si>
  <si>
    <t>设定</t>
  </si>
  <si>
    <t>至少造成x%力/技的伤害时</t>
  </si>
  <si>
    <t>多</t>
  </si>
  <si>
    <t>被回避、护体、防御、更强的杀式交锋等手段反制</t>
  </si>
  <si>
    <t>未产生交锋时生效</t>
  </si>
  <si>
    <t>偷刀招式，需要掩护或者时机</t>
  </si>
  <si>
    <t>纯粹产生延续收益、恢复战斗资源</t>
  </si>
  <si>
    <t>易被攻击打断损失收益</t>
  </si>
  <si>
    <t>各种负面效果于招式内占比较大</t>
  </si>
  <si>
    <t>施加负面，削弱、限制敌手行动</t>
  </si>
  <si>
    <t>威力为主</t>
  </si>
  <si>
    <t>拼招、造成直接伤害为主</t>
  </si>
  <si>
    <t>削减目标的炁</t>
  </si>
  <si>
    <t>打断炁消耗与持有炁差距不大时释放的招式、抑制敌手高强招式的使用</t>
  </si>
  <si>
    <t>恢复战斗资源的攻击</t>
  </si>
  <si>
    <t>被阻止恢复炁的招式克制</t>
  </si>
  <si>
    <t>风步移形</t>
  </si>
  <si>
    <t>止水折流</t>
  </si>
  <si>
    <t>胎光游虚</t>
  </si>
  <si>
    <t>特效产生点</t>
  </si>
  <si>
    <t>行动决定后</t>
  </si>
  <si>
    <t>释放成功</t>
  </si>
  <si>
    <t>产生交锋</t>
  </si>
  <si>
    <t>行动后</t>
  </si>
  <si>
    <t>本次行动不会被招式未带有→键的敌手破招</t>
    <phoneticPr fontId="8" type="noConversion"/>
  </si>
  <si>
    <t>将自身至多2个随机异常状态转为等量随机1层增益状态（迅速/刚聚/力增/武增）</t>
    <phoneticPr fontId="8" type="noConversion"/>
  </si>
  <si>
    <t>若持有异常状态则本次行动不会被破招</t>
    <phoneticPr fontId="8" type="noConversion"/>
  </si>
  <si>
    <t>若互为目标且目标未带有↓类留劲状态则本次行动不会被破招</t>
    <phoneticPr fontId="8" type="noConversion"/>
  </si>
  <si>
    <t>行动期间破与防翻倍，本次行动不会被破招且持续到下个回合开始，目标本次杀式行动的目标转来至自身</t>
    <phoneticPr fontId="8" type="noConversion"/>
  </si>
  <si>
    <t>获得5层寒沁</t>
    <phoneticPr fontId="8" type="noConversion"/>
  </si>
  <si>
    <t>获得3层缓速</t>
    <phoneticPr fontId="8" type="noConversion"/>
  </si>
  <si>
    <t>消耗2个→键和1个←键，行动期间不受异常状态的影响，本次行动不会被破招</t>
    <phoneticPr fontId="8" type="noConversion"/>
  </si>
  <si>
    <t>每有一个键该招式威力增加8的百分比</t>
    <phoneticPr fontId="8" type="noConversion"/>
  </si>
  <si>
    <t>随机消耗3个不同的键</t>
    <phoneticPr fontId="8" type="noConversion"/>
  </si>
  <si>
    <t>随机消耗2个相同的键与1个不相同的键</t>
    <phoneticPr fontId="8" type="noConversion"/>
  </si>
  <si>
    <t>随机消耗2个相同的键与另外2个相同的键</t>
    <phoneticPr fontId="8" type="noConversion"/>
  </si>
  <si>
    <t>至少持有2个相同的键与1个不相同的键时可使用</t>
    <phoneticPr fontId="8" type="noConversion"/>
  </si>
  <si>
    <t>未带有异常状态则招式的威力增加25的百分比</t>
    <phoneticPr fontId="8" type="noConversion"/>
  </si>
  <si>
    <t>本次行动为该回合首次行动则该招式威力增加35的百分比</t>
    <phoneticPr fontId="8" type="noConversion"/>
  </si>
  <si>
    <t>交锋敌手未带有↑类留劲状态则招式威力增加50的百分比</t>
    <phoneticPr fontId="8" type="noConversion"/>
  </si>
  <si>
    <t>对目标造成100%力的伤害，本回合受到过目标的直接伤害则威力增加35的百分比</t>
    <phoneticPr fontId="8" type="noConversion"/>
  </si>
  <si>
    <t>对目标造成130%力的伤害，本回合未受到过杀式直接攻击则造成的伤害增加40%</t>
    <phoneticPr fontId="8" type="noConversion"/>
  </si>
  <si>
    <t>对目标造成170%力的伤害，每带有一个异常状态威力减少10的百分比</t>
    <phoneticPr fontId="8" type="noConversion"/>
  </si>
  <si>
    <t>若互为目标且目标招式未带有↑键则招式威力增加50的百分比</t>
    <phoneticPr fontId="8" type="noConversion"/>
  </si>
  <si>
    <t>对目标造成175%力的伤害，每带有一个异常状态威力减少10的百分比</t>
    <phoneticPr fontId="8" type="noConversion"/>
  </si>
  <si>
    <t>招式的威力有概率增加50的百分比，概率随目标百分比损失的体增加</t>
    <phoneticPr fontId="8" type="noConversion"/>
  </si>
  <si>
    <t>清除其全部毒瘴状态并为全部角色施加1层毒瘴状态</t>
    <phoneticPr fontId="8" type="noConversion"/>
  </si>
  <si>
    <t>玄炁+当前30%（至少9），若处于化身类状态则改为玄炁+当前50%（至少15）</t>
    <phoneticPr fontId="8" type="noConversion"/>
  </si>
  <si>
    <t>清除全部角色的异常效果，将天气覆盖为雨天8个回合</t>
    <phoneticPr fontId="8" type="noConversion"/>
  </si>
  <si>
    <t>下一次行动使用招式所需的玄炁消耗变为等量的刚炁消耗</t>
    <phoneticPr fontId="8" type="noConversion"/>
  </si>
  <si>
    <t>对目标造成135%力的伤害，行动快于目标则根据行动差的一半施加伤口状态，若处于禽化身状态则等量施加伤口状态</t>
    <phoneticPr fontId="8" type="noConversion"/>
  </si>
  <si>
    <t>造成145%技的伤害，下回合不会自然恢复炁</t>
    <phoneticPr fontId="8" type="noConversion"/>
  </si>
  <si>
    <t>炁脉涌动</t>
    <phoneticPr fontId="8" type="noConversion"/>
  </si>
  <si>
    <t>持有猊煞状态可使用</t>
    <phoneticPr fontId="8" type="noConversion"/>
  </si>
  <si>
    <t>获得1层傍剑（标记目标）</t>
    <phoneticPr fontId="8" type="noConversion"/>
  </si>
  <si>
    <t>至少持有5层毒瘴状态才可使用</t>
    <phoneticPr fontId="8" type="noConversion"/>
  </si>
  <si>
    <t>若处于祖化身状态刚炁消耗变为玄炁消耗</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</si>
</sst>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charset val="134"/>
      <scheme val="minor"/>
    </font>
    <font>
      <sz val="10"/>
      <color theme="1"/>
      <name val="微软雅黑"/>
      <family val="2"/>
      <charset val="134"/>
    </font>
    <font>
      <b/>
      <sz val="10"/>
      <color theme="1"/>
      <name val="微软雅黑"/>
      <family val="2"/>
      <charset val="134"/>
    </font>
    <font>
      <sz val="8"/>
      <color theme="1"/>
      <name val="宋体"/>
      <family val="3"/>
      <charset val="134"/>
      <scheme val="minor"/>
    </font>
    <font>
      <b/>
      <sz val="9"/>
      <name val="宋体"/>
      <family val="3"/>
      <charset val="134"/>
    </font>
    <font>
      <b/>
      <sz val="9"/>
      <name val="Tahoma"/>
      <family val="2"/>
    </font>
    <font>
      <sz val="9"/>
      <name val="Tahoma"/>
      <family val="2"/>
    </font>
    <font>
      <sz val="9"/>
      <name val="宋体"/>
      <family val="3"/>
      <charset val="134"/>
    </font>
    <font>
      <sz val="9"/>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7">
    <xf numFmtId="0" fontId="0" fillId="0" borderId="0" xfId="0">
      <alignment vertical="center"/>
    </xf>
    <xf numFmtId="0" fontId="1" fillId="0" borderId="0" xfId="0" applyFont="1">
      <alignment vertical="center"/>
    </xf>
    <xf numFmtId="0" fontId="2" fillId="0" borderId="1" xfId="0" applyFont="1" applyBorder="1">
      <alignment vertical="center"/>
    </xf>
    <xf numFmtId="49" fontId="2" fillId="0" borderId="1" xfId="0" applyNumberFormat="1" applyFont="1" applyBorder="1">
      <alignment vertical="center"/>
    </xf>
    <xf numFmtId="0" fontId="2" fillId="0" borderId="0" xfId="0" applyFont="1">
      <alignment vertical="center"/>
    </xf>
    <xf numFmtId="0" fontId="2" fillId="0" borderId="1" xfId="0" applyFont="1" applyBorder="1" applyAlignment="1">
      <alignment horizontal="left" vertical="center"/>
    </xf>
    <xf numFmtId="0" fontId="0" fillId="0" borderId="0" xfId="0" applyAlignment="1">
      <alignment vertical="center" wrapText="1"/>
    </xf>
    <xf numFmtId="0" fontId="0" fillId="0" borderId="0" xfId="0" applyAlignment="1">
      <alignment horizontal="left" vertical="center"/>
    </xf>
    <xf numFmtId="0" fontId="0" fillId="2" borderId="0" xfId="0" applyFill="1">
      <alignment vertical="center"/>
    </xf>
    <xf numFmtId="0" fontId="0" fillId="3" borderId="0" xfId="0" applyFill="1">
      <alignment vertical="center"/>
    </xf>
    <xf numFmtId="0" fontId="0" fillId="0" borderId="0" xfId="0" applyAlignment="1">
      <alignment horizontal="center" vertical="center"/>
    </xf>
    <xf numFmtId="0" fontId="0" fillId="4" borderId="0" xfId="0" applyFill="1">
      <alignment vertical="center"/>
    </xf>
    <xf numFmtId="0" fontId="0" fillId="5" borderId="0" xfId="0" applyFill="1">
      <alignment vertical="center"/>
    </xf>
    <xf numFmtId="0" fontId="3" fillId="0" borderId="0" xfId="0" applyFont="1">
      <alignment vertical="center"/>
    </xf>
    <xf numFmtId="0" fontId="1" fillId="0" borderId="0" xfId="0" applyFont="1" applyAlignment="1">
      <alignment horizontal="left" vertical="center"/>
    </xf>
    <xf numFmtId="0" fontId="1" fillId="0" borderId="0" xfId="0" applyFont="1" applyAlignment="1" applyProtection="1">
      <alignment horizontal="left" vertical="center"/>
      <protection locked="0"/>
    </xf>
    <xf numFmtId="0" fontId="1" fillId="0" borderId="0" xfId="0" applyFont="1" applyAlignment="1">
      <alignment horizontal="left" vertical="center" wrapText="1"/>
    </xf>
    <xf numFmtId="0" fontId="2" fillId="0" borderId="1" xfId="0" applyFont="1" applyBorder="1" applyAlignment="1" applyProtection="1">
      <alignment horizontal="left" vertical="center"/>
      <protection locked="0"/>
    </xf>
    <xf numFmtId="49" fontId="2" fillId="0" borderId="1" xfId="0" applyNumberFormat="1" applyFont="1" applyBorder="1" applyAlignment="1">
      <alignment horizontal="left" vertical="center"/>
    </xf>
    <xf numFmtId="0" fontId="2" fillId="0" borderId="0" xfId="0" applyFont="1" applyAlignment="1">
      <alignment horizontal="left" vertical="center"/>
    </xf>
    <xf numFmtId="0" fontId="1" fillId="6" borderId="0" xfId="0" applyFont="1" applyFill="1" applyAlignment="1" applyProtection="1">
      <alignment horizontal="left" vertical="center"/>
      <protection locked="0"/>
    </xf>
    <xf numFmtId="0" fontId="1" fillId="7" borderId="0" xfId="0" applyFont="1" applyFill="1" applyAlignment="1" applyProtection="1">
      <alignment horizontal="left" vertical="center"/>
      <protection locked="0"/>
    </xf>
    <xf numFmtId="0" fontId="1" fillId="7" borderId="0" xfId="0" applyFont="1" applyFill="1" applyAlignment="1">
      <alignment horizontal="left" vertical="center" wrapText="1"/>
    </xf>
    <xf numFmtId="0" fontId="1" fillId="8" borderId="0" xfId="0" applyFont="1" applyFill="1" applyAlignment="1" applyProtection="1">
      <alignment horizontal="left" vertical="center"/>
      <protection locked="0"/>
    </xf>
    <xf numFmtId="0" fontId="1" fillId="0" borderId="0" xfId="0" applyFont="1" applyAlignment="1">
      <alignment vertical="center" wrapText="1"/>
    </xf>
    <xf numFmtId="0" fontId="0" fillId="0" borderId="0" xfId="0" applyAlignment="1">
      <alignment horizontal="center" vertical="center"/>
    </xf>
    <xf numFmtId="0" fontId="0" fillId="0" borderId="0" xfId="0">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53"/>
  <sheetViews>
    <sheetView tabSelected="1" workbookViewId="0">
      <pane xSplit="2" ySplit="3" topLeftCell="C299" activePane="bottomRight" state="frozen"/>
      <selection pane="topRight"/>
      <selection pane="bottomLeft"/>
      <selection pane="bottomRight" activeCell="N302" sqref="N302"/>
    </sheetView>
  </sheetViews>
  <sheetFormatPr defaultColWidth="9" defaultRowHeight="16.5" x14ac:dyDescent="0.15"/>
  <cols>
    <col min="1" max="1" width="6.25" style="15" customWidth="1"/>
    <col min="2" max="2" width="11.875" style="15" customWidth="1"/>
    <col min="3" max="3" width="9" style="14"/>
    <col min="4" max="4" width="17.625" style="14" hidden="1" customWidth="1"/>
    <col min="5" max="5" width="36.625" style="16" customWidth="1"/>
    <col min="6" max="6" width="17.125" style="16" hidden="1" customWidth="1"/>
    <col min="7" max="7" width="32.375" style="16" customWidth="1"/>
    <col min="8" max="8" width="46.875" style="16" customWidth="1"/>
    <col min="9" max="9" width="18.125" style="16" hidden="1" customWidth="1"/>
    <col min="10" max="10" width="46.875" style="16" customWidth="1"/>
    <col min="11" max="11" width="14.375" style="16" hidden="1" customWidth="1"/>
    <col min="12" max="12" width="42.75" style="16" customWidth="1"/>
    <col min="13" max="13" width="15.875" style="16" hidden="1" customWidth="1"/>
    <col min="14" max="14" width="42.75" style="16" customWidth="1"/>
    <col min="15" max="24" width="9" style="14"/>
    <col min="25" max="25" width="8.625" style="14" customWidth="1"/>
    <col min="26" max="26" width="13.5" style="14" customWidth="1"/>
    <col min="27" max="16384" width="9" style="14"/>
  </cols>
  <sheetData>
    <row r="1" spans="1:29" ht="15.95" customHeight="1" x14ac:dyDescent="0.15">
      <c r="A1" s="17" t="s">
        <v>0</v>
      </c>
      <c r="B1" s="17"/>
      <c r="C1" s="5" t="s">
        <v>1</v>
      </c>
      <c r="D1" s="18" t="s">
        <v>2</v>
      </c>
      <c r="E1" s="14"/>
      <c r="F1" s="5" t="s">
        <v>3</v>
      </c>
      <c r="G1" s="5"/>
      <c r="H1" s="18"/>
      <c r="I1" s="18" t="s">
        <v>4</v>
      </c>
      <c r="J1" s="18"/>
      <c r="K1" s="18" t="s">
        <v>5</v>
      </c>
      <c r="L1" s="14"/>
      <c r="M1" s="19" t="s">
        <v>6</v>
      </c>
      <c r="N1" s="14"/>
      <c r="O1" s="5" t="s">
        <v>7</v>
      </c>
      <c r="P1" s="5" t="s">
        <v>8</v>
      </c>
      <c r="Q1" s="5"/>
      <c r="R1" s="5" t="s">
        <v>9</v>
      </c>
      <c r="S1" s="5" t="s">
        <v>10</v>
      </c>
      <c r="T1" s="5" t="s">
        <v>11</v>
      </c>
      <c r="U1" s="18" t="s">
        <v>12</v>
      </c>
      <c r="V1" s="5" t="s">
        <v>13</v>
      </c>
      <c r="W1" s="5"/>
      <c r="X1" s="18" t="s">
        <v>14</v>
      </c>
      <c r="Y1" s="5" t="s">
        <v>15</v>
      </c>
      <c r="Z1" s="18" t="s">
        <v>16</v>
      </c>
      <c r="AA1" s="5" t="s">
        <v>17</v>
      </c>
      <c r="AB1" s="18" t="s">
        <v>18</v>
      </c>
      <c r="AC1" s="5"/>
    </row>
    <row r="2" spans="1:29" x14ac:dyDescent="0.15">
      <c r="A2" s="17" t="s">
        <v>19</v>
      </c>
      <c r="B2" s="17" t="s">
        <v>20</v>
      </c>
      <c r="C2" s="5" t="s">
        <v>21</v>
      </c>
      <c r="D2" s="19" t="s">
        <v>22</v>
      </c>
      <c r="E2" s="18" t="s">
        <v>23</v>
      </c>
      <c r="F2" s="18" t="s">
        <v>24</v>
      </c>
      <c r="G2" s="18" t="s">
        <v>25</v>
      </c>
      <c r="H2" s="18" t="s">
        <v>26</v>
      </c>
      <c r="I2" s="18" t="s">
        <v>27</v>
      </c>
      <c r="J2" s="18" t="s">
        <v>28</v>
      </c>
      <c r="K2" s="18" t="s">
        <v>29</v>
      </c>
      <c r="L2" s="18" t="s">
        <v>30</v>
      </c>
      <c r="M2" s="18" t="s">
        <v>31</v>
      </c>
      <c r="N2" s="18" t="s">
        <v>32</v>
      </c>
      <c r="O2" s="5" t="s">
        <v>33</v>
      </c>
      <c r="P2" s="5"/>
      <c r="Q2" s="5" t="s">
        <v>34</v>
      </c>
      <c r="R2" s="5" t="s">
        <v>35</v>
      </c>
      <c r="S2" s="5" t="s">
        <v>36</v>
      </c>
      <c r="T2" s="5" t="s">
        <v>37</v>
      </c>
      <c r="U2" s="5" t="s">
        <v>38</v>
      </c>
      <c r="V2" s="5" t="s">
        <v>39</v>
      </c>
      <c r="W2" s="5" t="s">
        <v>40</v>
      </c>
      <c r="X2" s="18"/>
      <c r="Y2" s="5"/>
      <c r="Z2" s="18" t="s">
        <v>41</v>
      </c>
      <c r="AA2" s="5" t="s">
        <v>42</v>
      </c>
      <c r="AB2" s="18"/>
      <c r="AC2" s="5"/>
    </row>
    <row r="3" spans="1:29" x14ac:dyDescent="0.15">
      <c r="A3" s="17" t="s">
        <v>43</v>
      </c>
      <c r="B3" s="17"/>
      <c r="C3" s="5" t="s">
        <v>43</v>
      </c>
      <c r="D3" s="18" t="s">
        <v>44</v>
      </c>
      <c r="E3" s="5"/>
      <c r="F3" s="18" t="s">
        <v>44</v>
      </c>
      <c r="G3" s="18"/>
      <c r="H3" s="5"/>
      <c r="I3" s="18" t="s">
        <v>44</v>
      </c>
      <c r="J3" s="5"/>
      <c r="K3" s="18" t="s">
        <v>44</v>
      </c>
      <c r="L3" s="18"/>
      <c r="M3" s="18" t="s">
        <v>44</v>
      </c>
      <c r="N3" s="18"/>
      <c r="O3" s="5" t="s">
        <v>43</v>
      </c>
      <c r="P3" s="5" t="s">
        <v>43</v>
      </c>
      <c r="Q3" s="5"/>
      <c r="R3" s="5" t="s">
        <v>44</v>
      </c>
      <c r="S3" s="5" t="s">
        <v>43</v>
      </c>
      <c r="T3" s="5" t="s">
        <v>43</v>
      </c>
      <c r="U3" s="5" t="s">
        <v>43</v>
      </c>
      <c r="V3" s="5" t="s">
        <v>44</v>
      </c>
      <c r="W3" s="5"/>
      <c r="X3" s="18"/>
      <c r="Y3" s="5"/>
      <c r="Z3" s="18"/>
      <c r="AA3" s="5"/>
      <c r="AB3" s="18"/>
      <c r="AC3" s="5"/>
    </row>
    <row r="4" spans="1:29" x14ac:dyDescent="0.15">
      <c r="A4" s="15">
        <v>11001</v>
      </c>
      <c r="B4" s="20" t="s">
        <v>45</v>
      </c>
      <c r="C4" s="14">
        <v>1</v>
      </c>
      <c r="E4" s="16" t="s">
        <v>46</v>
      </c>
      <c r="G4" s="16" t="s">
        <v>47</v>
      </c>
      <c r="J4" s="16" t="s">
        <v>48</v>
      </c>
      <c r="L4" s="16" t="s">
        <v>49</v>
      </c>
      <c r="O4" s="14">
        <v>1</v>
      </c>
      <c r="P4" s="14">
        <v>3</v>
      </c>
      <c r="Q4" s="14" t="s">
        <v>50</v>
      </c>
      <c r="R4" s="14" t="str" cm="1">
        <f t="array" aca="1" ref="R4" ca="1">_xlfn.TEXTJOIN(",",TRUE,MID(SUBSTITUTE(SUBSTITUTE(SUBSTITUTE(SUBSTITUTE($Q4,"↑","1"),"↓","2"),"←","3"),"→","4"),ROW(INDIRECT("1:"&amp;LEN($Q4))),1))</f>
        <v>2,2</v>
      </c>
      <c r="S4" s="14">
        <v>1</v>
      </c>
      <c r="T4" s="14" t="s">
        <v>51</v>
      </c>
      <c r="U4" s="14" t="s">
        <v>51</v>
      </c>
      <c r="V4" s="14">
        <v>20202</v>
      </c>
      <c r="W4" s="14" t="s">
        <v>52</v>
      </c>
      <c r="Y4" s="14">
        <v>2</v>
      </c>
      <c r="Z4" s="14">
        <v>0</v>
      </c>
      <c r="AA4" s="14">
        <v>1</v>
      </c>
    </row>
    <row r="5" spans="1:29" x14ac:dyDescent="0.15">
      <c r="A5" s="15">
        <v>11002</v>
      </c>
      <c r="B5" s="20" t="s">
        <v>53</v>
      </c>
      <c r="C5" s="14">
        <v>1</v>
      </c>
      <c r="G5" s="16" t="s">
        <v>54</v>
      </c>
      <c r="H5" s="16" t="s">
        <v>55</v>
      </c>
      <c r="L5" s="16" t="s">
        <v>49</v>
      </c>
      <c r="O5" s="14">
        <v>1</v>
      </c>
      <c r="P5" s="14">
        <v>7</v>
      </c>
      <c r="Q5" s="14" t="s">
        <v>56</v>
      </c>
      <c r="R5" s="14" t="str" cm="1">
        <f t="array" aca="1" ref="R5" ca="1">_xlfn.TEXTJOIN(",",TRUE,MID(SUBSTITUTE(SUBSTITUTE(SUBSTITUTE(SUBSTITUTE($Q5,"↑","1"),"↓","2"),"←","3"),"→","4"),ROW(INDIRECT("1:"&amp;LEN($Q5))),1))</f>
        <v>3,3</v>
      </c>
      <c r="S5" s="14">
        <v>1</v>
      </c>
      <c r="T5" s="14">
        <v>8</v>
      </c>
      <c r="U5" s="14">
        <v>8</v>
      </c>
      <c r="V5" s="14">
        <v>20301</v>
      </c>
      <c r="W5" s="14" t="s">
        <v>57</v>
      </c>
      <c r="Y5" s="14">
        <v>2</v>
      </c>
      <c r="Z5" s="14">
        <v>0</v>
      </c>
      <c r="AA5" s="14">
        <v>1</v>
      </c>
    </row>
    <row r="6" spans="1:29" x14ac:dyDescent="0.15">
      <c r="A6" s="15">
        <v>11003</v>
      </c>
      <c r="B6" s="20" t="s">
        <v>58</v>
      </c>
      <c r="C6" s="14">
        <v>1</v>
      </c>
      <c r="G6" s="16" t="s">
        <v>47</v>
      </c>
      <c r="J6" s="16" t="s">
        <v>59</v>
      </c>
      <c r="O6" s="14">
        <v>1</v>
      </c>
      <c r="P6" s="14">
        <v>3</v>
      </c>
      <c r="Q6" s="14" t="s">
        <v>60</v>
      </c>
      <c r="R6" s="14" t="str" cm="1">
        <f t="array" aca="1" ref="R6" ca="1">_xlfn.TEXTJOIN(",",TRUE,MID(SUBSTITUTE(SUBSTITUTE(SUBSTITUTE(SUBSTITUTE($Q6,"↑","1"),"↓","2"),"←","3"),"→","4"),ROW(INDIRECT("1:"&amp;LEN($Q6))),1))</f>
        <v>2,3</v>
      </c>
      <c r="S6" s="14">
        <v>1</v>
      </c>
      <c r="T6" s="14" t="s">
        <v>51</v>
      </c>
      <c r="U6" s="14" t="s">
        <v>51</v>
      </c>
      <c r="V6" s="14">
        <v>20201</v>
      </c>
      <c r="W6" s="14" t="s">
        <v>61</v>
      </c>
      <c r="Y6" s="14">
        <v>2</v>
      </c>
      <c r="Z6" s="14">
        <v>0</v>
      </c>
      <c r="AA6" s="14">
        <v>1</v>
      </c>
    </row>
    <row r="7" spans="1:29" ht="33" x14ac:dyDescent="0.15">
      <c r="A7" s="15">
        <v>11004</v>
      </c>
      <c r="B7" s="20" t="s">
        <v>62</v>
      </c>
      <c r="C7" s="14">
        <v>1</v>
      </c>
      <c r="G7" s="16" t="s">
        <v>63</v>
      </c>
      <c r="J7" s="16" t="s">
        <v>64</v>
      </c>
      <c r="L7" s="16" t="s">
        <v>65</v>
      </c>
      <c r="O7" s="14">
        <v>1</v>
      </c>
      <c r="P7" s="14">
        <v>4</v>
      </c>
      <c r="Q7" s="14" t="s">
        <v>66</v>
      </c>
      <c r="R7" s="14" t="str" cm="1">
        <f t="array" aca="1" ref="R7" ca="1">_xlfn.TEXTJOIN(",",TRUE,MID(SUBSTITUTE(SUBSTITUTE(SUBSTITUTE(SUBSTITUTE($Q7,"↑","1"),"↓","2"),"←","3"),"→","4"),ROW(INDIRECT("1:"&amp;LEN($Q7))),1))</f>
        <v>2,2,1</v>
      </c>
      <c r="S7" s="14">
        <v>1</v>
      </c>
      <c r="T7" s="14" t="s">
        <v>51</v>
      </c>
      <c r="U7" s="14" t="s">
        <v>51</v>
      </c>
      <c r="V7" s="14">
        <v>20404</v>
      </c>
      <c r="W7" s="14" t="s">
        <v>67</v>
      </c>
      <c r="Y7" s="14">
        <v>2</v>
      </c>
      <c r="Z7" s="14">
        <v>0</v>
      </c>
      <c r="AA7" s="14">
        <v>1</v>
      </c>
    </row>
    <row r="8" spans="1:29" ht="33" x14ac:dyDescent="0.15">
      <c r="A8" s="15">
        <v>11005</v>
      </c>
      <c r="B8" s="20" t="s">
        <v>68</v>
      </c>
      <c r="C8" s="14">
        <v>1</v>
      </c>
      <c r="G8" s="16" t="s">
        <v>69</v>
      </c>
      <c r="J8" s="16" t="s">
        <v>48</v>
      </c>
      <c r="L8" s="16" t="s">
        <v>49</v>
      </c>
      <c r="O8" s="14">
        <v>1</v>
      </c>
      <c r="P8" s="14">
        <v>2</v>
      </c>
      <c r="Q8" s="14" t="s">
        <v>70</v>
      </c>
      <c r="R8" s="14" t="str" cm="1">
        <f t="array" aca="1" ref="R8" ca="1">_xlfn.TEXTJOIN(",",TRUE,MID(SUBSTITUTE(SUBSTITUTE(SUBSTITUTE(SUBSTITUTE($Q8,"↑","1"),"↓","2"),"←","3"),"→","4"),ROW(INDIRECT("1:"&amp;LEN($Q8))),1))</f>
        <v>2,2,3</v>
      </c>
      <c r="S8" s="14">
        <v>1</v>
      </c>
      <c r="T8" s="14" t="s">
        <v>51</v>
      </c>
      <c r="U8" s="14" t="s">
        <v>51</v>
      </c>
      <c r="V8" s="14">
        <v>20101</v>
      </c>
      <c r="W8" s="14" t="s">
        <v>71</v>
      </c>
      <c r="Y8" s="14">
        <v>2</v>
      </c>
      <c r="Z8" s="14">
        <v>0</v>
      </c>
      <c r="AA8" s="14">
        <v>1</v>
      </c>
    </row>
    <row r="9" spans="1:29" x14ac:dyDescent="0.15">
      <c r="A9" s="15">
        <v>11006</v>
      </c>
      <c r="B9" s="20" t="s">
        <v>72</v>
      </c>
      <c r="C9" s="14">
        <v>1</v>
      </c>
      <c r="E9" s="16" t="s">
        <v>73</v>
      </c>
      <c r="H9" s="14" t="s">
        <v>74</v>
      </c>
      <c r="I9" s="14"/>
      <c r="J9" s="14"/>
      <c r="L9" s="16" t="s">
        <v>75</v>
      </c>
      <c r="N9" s="16" t="s">
        <v>76</v>
      </c>
      <c r="O9" s="14">
        <v>1</v>
      </c>
      <c r="P9" s="14">
        <v>2</v>
      </c>
      <c r="Q9" s="14" t="s">
        <v>77</v>
      </c>
      <c r="R9" s="14" t="str" cm="1">
        <f t="array" aca="1" ref="R9" ca="1">_xlfn.TEXTJOIN(",",TRUE,MID(SUBSTITUTE(SUBSTITUTE(SUBSTITUTE(SUBSTITUTE($Q9,"↑","1"),"↓","2"),"←","3"),"→","4"),ROW(INDIRECT("1:"&amp;LEN($Q9))),1))</f>
        <v>1,4,2</v>
      </c>
      <c r="S9" s="14">
        <v>1</v>
      </c>
      <c r="T9" s="14">
        <v>25</v>
      </c>
      <c r="U9" s="14" t="s">
        <v>51</v>
      </c>
      <c r="V9" s="14">
        <v>20201</v>
      </c>
      <c r="W9" s="14" t="s">
        <v>61</v>
      </c>
      <c r="Y9" s="14">
        <v>2</v>
      </c>
      <c r="Z9" s="14">
        <v>0</v>
      </c>
      <c r="AA9" s="14">
        <v>1</v>
      </c>
    </row>
    <row r="10" spans="1:29" x14ac:dyDescent="0.15">
      <c r="A10" s="15">
        <v>11007</v>
      </c>
      <c r="B10" s="20" t="s">
        <v>78</v>
      </c>
      <c r="C10" s="14">
        <v>1</v>
      </c>
      <c r="E10" s="16" t="s">
        <v>79</v>
      </c>
      <c r="H10" s="16" t="s">
        <v>80</v>
      </c>
      <c r="L10" s="16" t="s">
        <v>81</v>
      </c>
      <c r="O10" s="14">
        <v>6</v>
      </c>
      <c r="P10" s="14">
        <v>10</v>
      </c>
      <c r="Q10" s="14" t="s">
        <v>82</v>
      </c>
      <c r="R10" s="14" t="str" cm="1">
        <f t="array" aca="1" ref="R10" ca="1">_xlfn.TEXTJOIN(",",TRUE,MID(SUBSTITUTE(SUBSTITUTE(SUBSTITUTE(SUBSTITUTE($Q10,"↑","1"),"↓","2"),"←","3"),"→","4"),ROW(INDIRECT("1:"&amp;LEN($Q10))),1))</f>
        <v>2,3,3,2</v>
      </c>
      <c r="S10" s="14">
        <v>2</v>
      </c>
      <c r="T10" s="14">
        <v>20</v>
      </c>
      <c r="U10" s="14" t="s">
        <v>51</v>
      </c>
      <c r="V10" s="14">
        <v>20303</v>
      </c>
      <c r="W10" s="14" t="s">
        <v>83</v>
      </c>
      <c r="Y10" s="14">
        <v>1</v>
      </c>
      <c r="Z10" s="14">
        <v>1</v>
      </c>
      <c r="AA10" s="14">
        <v>1</v>
      </c>
    </row>
    <row r="11" spans="1:29" x14ac:dyDescent="0.15">
      <c r="A11" s="15">
        <v>11008</v>
      </c>
      <c r="B11" s="20" t="s">
        <v>84</v>
      </c>
      <c r="C11" s="14">
        <v>1</v>
      </c>
      <c r="E11" s="16" t="s">
        <v>85</v>
      </c>
      <c r="H11" s="16" t="s">
        <v>86</v>
      </c>
      <c r="L11" s="16" t="s">
        <v>87</v>
      </c>
      <c r="O11" s="14">
        <v>4</v>
      </c>
      <c r="P11" s="14">
        <v>8</v>
      </c>
      <c r="Q11" s="14" t="s">
        <v>88</v>
      </c>
      <c r="R11" s="14" t="str" cm="1">
        <f t="array" aca="1" ref="R11" ca="1">_xlfn.TEXTJOIN(",",TRUE,MID(SUBSTITUTE(SUBSTITUTE(SUBSTITUTE(SUBSTITUTE($Q11,"↑","1"),"↓","2"),"←","3"),"→","4"),ROW(INDIRECT("1:"&amp;LEN($Q11))),1))</f>
        <v>2,2,4,1</v>
      </c>
      <c r="S11" s="14">
        <v>1</v>
      </c>
      <c r="T11" s="14">
        <v>20</v>
      </c>
      <c r="U11" s="14" t="s">
        <v>51</v>
      </c>
      <c r="V11" s="14">
        <v>20305</v>
      </c>
      <c r="W11" s="14" t="s">
        <v>89</v>
      </c>
      <c r="Y11" s="14">
        <v>2</v>
      </c>
      <c r="Z11" s="14">
        <v>0</v>
      </c>
      <c r="AA11" s="14">
        <v>1</v>
      </c>
    </row>
    <row r="12" spans="1:29" x14ac:dyDescent="0.15">
      <c r="A12" s="15">
        <v>11009</v>
      </c>
      <c r="B12" s="20" t="s">
        <v>90</v>
      </c>
      <c r="C12" s="14">
        <v>1</v>
      </c>
      <c r="H12" s="16" t="s">
        <v>91</v>
      </c>
      <c r="O12" s="14">
        <v>1</v>
      </c>
      <c r="P12" s="14">
        <v>5</v>
      </c>
      <c r="Q12" s="14" t="s">
        <v>92</v>
      </c>
      <c r="R12" s="14" t="str" cm="1">
        <f t="array" aca="1" ref="R12" ca="1">_xlfn.TEXTJOIN(",",TRUE,MID(SUBSTITUTE(SUBSTITUTE(SUBSTITUTE(SUBSTITUTE($Q12,"↑","1"),"↓","2"),"←","3"),"→","4"),ROW(INDIRECT("1:"&amp;LEN($Q12))),1))</f>
        <v>1,1</v>
      </c>
      <c r="S12" s="14">
        <v>1</v>
      </c>
      <c r="T12" s="14" t="s">
        <v>51</v>
      </c>
      <c r="U12" s="14" t="s">
        <v>51</v>
      </c>
      <c r="V12" s="14">
        <v>20101</v>
      </c>
      <c r="W12" s="14" t="s">
        <v>71</v>
      </c>
      <c r="Y12" s="14">
        <v>2</v>
      </c>
      <c r="Z12" s="14">
        <v>0</v>
      </c>
      <c r="AA12" s="14">
        <v>1</v>
      </c>
    </row>
    <row r="13" spans="1:29" x14ac:dyDescent="0.15">
      <c r="A13" s="15">
        <v>11010</v>
      </c>
      <c r="B13" s="20" t="s">
        <v>93</v>
      </c>
      <c r="C13" s="14">
        <v>1</v>
      </c>
      <c r="E13" s="16" t="s">
        <v>94</v>
      </c>
      <c r="H13" s="16" t="s">
        <v>95</v>
      </c>
      <c r="L13" s="16" t="s">
        <v>96</v>
      </c>
      <c r="O13" s="14">
        <v>1</v>
      </c>
      <c r="P13" s="14">
        <v>8</v>
      </c>
      <c r="Q13" s="14" t="s">
        <v>97</v>
      </c>
      <c r="R13" s="14" t="str" cm="1">
        <f t="array" aca="1" ref="R13" ca="1">_xlfn.TEXTJOIN(",",TRUE,MID(SUBSTITUTE(SUBSTITUTE(SUBSTITUTE(SUBSTITUTE($Q13,"↑","1"),"↓","2"),"←","3"),"→","4"),ROW(INDIRECT("1:"&amp;LEN($Q13))),1))</f>
        <v>1,1,3</v>
      </c>
      <c r="S13" s="14">
        <v>1</v>
      </c>
      <c r="T13" s="14">
        <v>20</v>
      </c>
      <c r="U13" s="14" t="s">
        <v>51</v>
      </c>
      <c r="V13" s="14">
        <v>20201</v>
      </c>
      <c r="W13" s="14" t="s">
        <v>61</v>
      </c>
      <c r="Y13" s="14">
        <v>2</v>
      </c>
      <c r="Z13" s="14">
        <v>0</v>
      </c>
      <c r="AA13" s="14">
        <v>1</v>
      </c>
    </row>
    <row r="14" spans="1:29" x14ac:dyDescent="0.15">
      <c r="A14" s="15">
        <v>11011</v>
      </c>
      <c r="B14" s="20" t="s">
        <v>98</v>
      </c>
      <c r="C14" s="14">
        <v>1</v>
      </c>
      <c r="E14" s="16" t="s">
        <v>94</v>
      </c>
      <c r="H14" s="16" t="s">
        <v>99</v>
      </c>
      <c r="L14" s="16" t="s">
        <v>100</v>
      </c>
      <c r="O14" s="14">
        <v>1</v>
      </c>
      <c r="P14" s="14">
        <v>8</v>
      </c>
      <c r="Q14" s="14" t="s">
        <v>101</v>
      </c>
      <c r="R14" s="14" t="str" cm="1">
        <f t="array" aca="1" ref="R14" ca="1">_xlfn.TEXTJOIN(",",TRUE,MID(SUBSTITUTE(SUBSTITUTE(SUBSTITUTE(SUBSTITUTE($Q14,"↑","1"),"↓","2"),"←","3"),"→","4"),ROW(INDIRECT("1:"&amp;LEN($Q14))),1))</f>
        <v>1,1,4</v>
      </c>
      <c r="S14" s="14">
        <v>1</v>
      </c>
      <c r="T14" s="14" t="s">
        <v>51</v>
      </c>
      <c r="U14" s="14">
        <v>20</v>
      </c>
      <c r="V14" s="14">
        <v>20201</v>
      </c>
      <c r="W14" s="14" t="s">
        <v>61</v>
      </c>
      <c r="Y14" s="14">
        <v>2</v>
      </c>
      <c r="Z14" s="14">
        <v>0</v>
      </c>
      <c r="AA14" s="14">
        <v>1</v>
      </c>
    </row>
    <row r="15" spans="1:29" x14ac:dyDescent="0.15">
      <c r="A15" s="15">
        <v>11012</v>
      </c>
      <c r="B15" s="20" t="s">
        <v>102</v>
      </c>
      <c r="C15" s="14">
        <v>1</v>
      </c>
      <c r="H15" s="16" t="s">
        <v>103</v>
      </c>
      <c r="L15" s="16" t="s">
        <v>104</v>
      </c>
      <c r="O15" s="14">
        <v>2</v>
      </c>
      <c r="P15" s="14">
        <v>9</v>
      </c>
      <c r="Q15" s="14" t="s">
        <v>105</v>
      </c>
      <c r="R15" s="14" t="str" cm="1">
        <f t="array" aca="1" ref="R15" ca="1">_xlfn.TEXTJOIN(",",TRUE,MID(SUBSTITUTE(SUBSTITUTE(SUBSTITUTE(SUBSTITUTE($Q15,"↑","1"),"↓","2"),"←","3"),"→","4"),ROW(INDIRECT("1:"&amp;LEN($Q15))),1))</f>
        <v>1,4,4,2</v>
      </c>
      <c r="S15" s="14">
        <v>1</v>
      </c>
      <c r="T15" s="14">
        <v>30</v>
      </c>
      <c r="U15" s="14" t="s">
        <v>51</v>
      </c>
      <c r="V15" s="14">
        <v>20306</v>
      </c>
      <c r="W15" s="14" t="s">
        <v>106</v>
      </c>
      <c r="Y15" s="14">
        <v>2</v>
      </c>
      <c r="Z15" s="14">
        <v>0</v>
      </c>
      <c r="AA15" s="14">
        <v>1</v>
      </c>
    </row>
    <row r="16" spans="1:29" x14ac:dyDescent="0.15">
      <c r="A16" s="15">
        <v>11013</v>
      </c>
      <c r="B16" s="20" t="s">
        <v>107</v>
      </c>
      <c r="C16" s="14">
        <v>1</v>
      </c>
      <c r="E16" s="16" t="s">
        <v>108</v>
      </c>
      <c r="H16" s="16" t="s">
        <v>109</v>
      </c>
      <c r="O16" s="14">
        <v>1</v>
      </c>
      <c r="P16" s="14">
        <v>0</v>
      </c>
      <c r="Q16" s="14" t="s">
        <v>110</v>
      </c>
      <c r="R16" s="14" t="str" cm="1">
        <f t="array" aca="1" ref="R16" ca="1">_xlfn.TEXTJOIN(",",TRUE,MID(SUBSTITUTE(SUBSTITUTE(SUBSTITUTE(SUBSTITUTE($Q16,"↑","1"),"↓","2"),"←","3"),"→","4"),ROW(INDIRECT("1:"&amp;LEN($Q16))),1))</f>
        <v>3</v>
      </c>
      <c r="S16" s="14">
        <v>1</v>
      </c>
      <c r="T16" s="14" t="s">
        <v>51</v>
      </c>
      <c r="U16" s="14" t="s">
        <v>51</v>
      </c>
      <c r="V16" s="14">
        <v>20101</v>
      </c>
      <c r="W16" s="14" t="s">
        <v>71</v>
      </c>
      <c r="Y16" s="14">
        <v>2</v>
      </c>
      <c r="Z16" s="14">
        <v>0</v>
      </c>
      <c r="AA16" s="14">
        <v>1</v>
      </c>
    </row>
    <row r="17" spans="1:27" x14ac:dyDescent="0.15">
      <c r="A17" s="15">
        <v>11014</v>
      </c>
      <c r="B17" s="20" t="s">
        <v>111</v>
      </c>
      <c r="C17" s="14">
        <v>1</v>
      </c>
      <c r="G17" s="16" t="s">
        <v>112</v>
      </c>
      <c r="H17" s="14" t="s">
        <v>1068</v>
      </c>
      <c r="I17" s="14"/>
      <c r="J17" s="14"/>
      <c r="L17" s="16" t="s">
        <v>113</v>
      </c>
      <c r="O17" s="14">
        <v>4</v>
      </c>
      <c r="P17" s="14">
        <v>5</v>
      </c>
      <c r="Q17" s="14" t="s">
        <v>114</v>
      </c>
      <c r="R17" s="14" t="str" cm="1">
        <f t="array" aca="1" ref="R17" ca="1">_xlfn.TEXTJOIN(",",TRUE,MID(SUBSTITUTE(SUBSTITUTE(SUBSTITUTE(SUBSTITUTE($Q17,"↑","1"),"↓","2"),"←","3"),"→","4"),ROW(INDIRECT("1:"&amp;LEN($Q17))),1))</f>
        <v>3,1,3</v>
      </c>
      <c r="S17" s="14">
        <v>1</v>
      </c>
      <c r="T17" s="14" t="s">
        <v>51</v>
      </c>
      <c r="U17" s="14">
        <v>25</v>
      </c>
      <c r="V17" s="14">
        <v>20404</v>
      </c>
      <c r="W17" s="14" t="s">
        <v>67</v>
      </c>
      <c r="Y17" s="14">
        <v>2</v>
      </c>
      <c r="Z17" s="14">
        <v>0</v>
      </c>
      <c r="AA17" s="14">
        <v>1</v>
      </c>
    </row>
    <row r="18" spans="1:27" x14ac:dyDescent="0.15">
      <c r="A18" s="15">
        <v>11015</v>
      </c>
      <c r="B18" s="20" t="s">
        <v>115</v>
      </c>
      <c r="C18" s="14">
        <v>1</v>
      </c>
      <c r="E18" s="16" t="s">
        <v>116</v>
      </c>
      <c r="H18" s="16" t="s">
        <v>117</v>
      </c>
      <c r="I18" s="14"/>
      <c r="J18" s="14"/>
      <c r="L18" s="16" t="s">
        <v>118</v>
      </c>
      <c r="O18" s="14">
        <v>1</v>
      </c>
      <c r="P18" s="14">
        <v>5</v>
      </c>
      <c r="Q18" s="14" t="s">
        <v>119</v>
      </c>
      <c r="R18" s="14" t="str" cm="1">
        <f t="array" aca="1" ref="R18" ca="1">_xlfn.TEXTJOIN(",",TRUE,MID(SUBSTITUTE(SUBSTITUTE(SUBSTITUTE(SUBSTITUTE($Q18,"↑","1"),"↓","2"),"←","3"),"→","4"),ROW(INDIRECT("1:"&amp;LEN($Q18))),1))</f>
        <v>1,3,1</v>
      </c>
      <c r="S18" s="14">
        <v>1</v>
      </c>
      <c r="T18" s="14">
        <v>45</v>
      </c>
      <c r="U18" s="14" t="s">
        <v>51</v>
      </c>
      <c r="V18" s="14">
        <v>20305</v>
      </c>
      <c r="W18" s="14" t="s">
        <v>89</v>
      </c>
      <c r="Y18" s="14">
        <v>2</v>
      </c>
      <c r="Z18" s="14">
        <v>0</v>
      </c>
      <c r="AA18" s="14">
        <v>1</v>
      </c>
    </row>
    <row r="19" spans="1:27" x14ac:dyDescent="0.15">
      <c r="A19" s="15">
        <v>11016</v>
      </c>
      <c r="B19" s="20" t="s">
        <v>120</v>
      </c>
      <c r="C19" s="14">
        <v>1</v>
      </c>
      <c r="G19" s="16" t="s">
        <v>121</v>
      </c>
      <c r="H19" s="14" t="s">
        <v>122</v>
      </c>
      <c r="I19" s="14"/>
      <c r="J19" s="14"/>
      <c r="L19" s="16" t="s">
        <v>123</v>
      </c>
      <c r="O19" s="14">
        <v>2</v>
      </c>
      <c r="P19" s="14">
        <v>4</v>
      </c>
      <c r="Q19" s="14" t="s">
        <v>124</v>
      </c>
      <c r="R19" s="14" t="str" cm="1">
        <f t="array" aca="1" ref="R19" ca="1">_xlfn.TEXTJOIN(",",TRUE,MID(SUBSTITUTE(SUBSTITUTE(SUBSTITUTE(SUBSTITUTE($Q19,"↑","1"),"↓","2"),"←","3"),"→","4"),ROW(INDIRECT("1:"&amp;LEN($Q19))),1))</f>
        <v>1,2</v>
      </c>
      <c r="S19" s="14">
        <v>1</v>
      </c>
      <c r="T19" s="14" t="s">
        <v>51</v>
      </c>
      <c r="U19" s="14">
        <v>35</v>
      </c>
      <c r="V19" s="14">
        <v>20305</v>
      </c>
      <c r="W19" s="14" t="s">
        <v>89</v>
      </c>
      <c r="Y19" s="14">
        <v>2</v>
      </c>
      <c r="Z19" s="14">
        <v>0</v>
      </c>
      <c r="AA19" s="14">
        <v>1</v>
      </c>
    </row>
    <row r="20" spans="1:27" ht="33" x14ac:dyDescent="0.15">
      <c r="A20" s="15">
        <v>11017</v>
      </c>
      <c r="B20" s="20" t="s">
        <v>125</v>
      </c>
      <c r="C20" s="14">
        <v>1</v>
      </c>
      <c r="H20" s="14" t="s">
        <v>126</v>
      </c>
      <c r="I20" s="14"/>
      <c r="J20" s="14"/>
      <c r="L20" s="16" t="s">
        <v>127</v>
      </c>
      <c r="O20" s="14">
        <v>1</v>
      </c>
      <c r="P20" s="14">
        <v>3</v>
      </c>
      <c r="Q20" s="14" t="s">
        <v>128</v>
      </c>
      <c r="R20" s="14" t="str" cm="1">
        <f t="array" aca="1" ref="R20" ca="1">_xlfn.TEXTJOIN(",",TRUE,MID(SUBSTITUTE(SUBSTITUTE(SUBSTITUTE(SUBSTITUTE($Q20,"↑","1"),"↓","2"),"←","3"),"→","4"),ROW(INDIRECT("1:"&amp;LEN($Q20))),1))</f>
        <v>2,3,4,1</v>
      </c>
      <c r="S20" s="14">
        <v>1</v>
      </c>
      <c r="T20" s="14">
        <v>30</v>
      </c>
      <c r="U20" s="14" t="s">
        <v>51</v>
      </c>
      <c r="V20" s="14">
        <v>20201</v>
      </c>
      <c r="W20" s="14" t="s">
        <v>61</v>
      </c>
      <c r="Y20" s="14">
        <v>2</v>
      </c>
      <c r="Z20" s="14">
        <v>0</v>
      </c>
      <c r="AA20" s="14">
        <v>1</v>
      </c>
    </row>
    <row r="21" spans="1:27" ht="33" x14ac:dyDescent="0.15">
      <c r="A21" s="15">
        <v>11018</v>
      </c>
      <c r="B21" s="20" t="s">
        <v>129</v>
      </c>
      <c r="C21" s="14">
        <v>1</v>
      </c>
      <c r="G21" s="16" t="s">
        <v>130</v>
      </c>
      <c r="H21" s="14" t="s">
        <v>131</v>
      </c>
      <c r="I21" s="14"/>
      <c r="J21" s="14"/>
      <c r="L21" s="16" t="s">
        <v>132</v>
      </c>
      <c r="O21" s="14" t="s">
        <v>133</v>
      </c>
      <c r="P21" s="14">
        <v>999</v>
      </c>
      <c r="Q21" s="14" t="s">
        <v>134</v>
      </c>
      <c r="R21" s="14" t="str" cm="1">
        <f t="array" aca="1" ref="R21" ca="1">_xlfn.TEXTJOIN(",",TRUE,MID(SUBSTITUTE(SUBSTITUTE(SUBSTITUTE(SUBSTITUTE($Q21,"↑","1"),"↓","2"),"←","3"),"→","4"),ROW(INDIRECT("1:"&amp;LEN($Q21))),1))</f>
        <v>1,1,4,2</v>
      </c>
      <c r="S21" s="14">
        <v>1</v>
      </c>
      <c r="T21" s="14" t="s">
        <v>51</v>
      </c>
      <c r="U21" s="14" t="s">
        <v>51</v>
      </c>
      <c r="V21" s="14">
        <v>20001</v>
      </c>
      <c r="W21" s="14" t="s">
        <v>135</v>
      </c>
      <c r="Y21" s="14">
        <v>2</v>
      </c>
      <c r="Z21" s="14">
        <v>0</v>
      </c>
      <c r="AA21" s="14">
        <v>0</v>
      </c>
    </row>
    <row r="22" spans="1:27" ht="33" x14ac:dyDescent="0.15">
      <c r="A22" s="15">
        <v>11019</v>
      </c>
      <c r="B22" s="20" t="s">
        <v>129</v>
      </c>
      <c r="C22" s="14">
        <v>1</v>
      </c>
      <c r="G22" s="16" t="s">
        <v>130</v>
      </c>
      <c r="H22" s="14" t="s">
        <v>136</v>
      </c>
      <c r="I22" s="14"/>
      <c r="J22" s="14"/>
      <c r="L22" s="16" t="s">
        <v>137</v>
      </c>
      <c r="O22" s="14" t="s">
        <v>133</v>
      </c>
      <c r="P22" s="14">
        <v>999</v>
      </c>
      <c r="Q22" s="14" t="s">
        <v>134</v>
      </c>
      <c r="R22" s="14" t="str" cm="1">
        <f t="array" aca="1" ref="R22" ca="1">_xlfn.TEXTJOIN(",",TRUE,MID(SUBSTITUTE(SUBSTITUTE(SUBSTITUTE(SUBSTITUTE($Q22,"↑","1"),"↓","2"),"←","3"),"→","4"),ROW(INDIRECT("1:"&amp;LEN($Q22))),1))</f>
        <v>1,1,4,2</v>
      </c>
      <c r="S22" s="14">
        <v>1</v>
      </c>
      <c r="T22" s="14" t="s">
        <v>51</v>
      </c>
      <c r="U22" s="14" t="s">
        <v>51</v>
      </c>
      <c r="V22" s="14">
        <v>20001</v>
      </c>
      <c r="W22" s="14" t="s">
        <v>135</v>
      </c>
      <c r="Y22" s="14">
        <v>2</v>
      </c>
      <c r="Z22" s="14">
        <v>0</v>
      </c>
      <c r="AA22" s="14">
        <v>0</v>
      </c>
    </row>
    <row r="23" spans="1:27" x14ac:dyDescent="0.15">
      <c r="A23" s="15">
        <v>11020</v>
      </c>
      <c r="B23" s="20" t="s">
        <v>138</v>
      </c>
      <c r="C23" s="14">
        <v>1</v>
      </c>
      <c r="E23" s="16" t="s">
        <v>139</v>
      </c>
      <c r="H23" s="14" t="s">
        <v>140</v>
      </c>
      <c r="I23" s="14"/>
      <c r="J23" s="14"/>
      <c r="L23" s="16" t="s">
        <v>141</v>
      </c>
      <c r="O23" s="14" t="s">
        <v>133</v>
      </c>
      <c r="P23" s="14">
        <v>999</v>
      </c>
      <c r="Q23" s="14" t="s">
        <v>142</v>
      </c>
      <c r="R23" s="14" t="str" cm="1">
        <f t="array" aca="1" ref="R23" ca="1">_xlfn.TEXTJOIN(",",TRUE,MID(SUBSTITUTE(SUBSTITUTE(SUBSTITUTE(SUBSTITUTE($Q23,"↑","1"),"↓","2"),"←","3"),"→","4"),ROW(INDIRECT("1:"&amp;LEN($Q23))),1))</f>
        <v>2,1</v>
      </c>
      <c r="S23" s="14">
        <v>1</v>
      </c>
      <c r="T23" s="14" t="s">
        <v>51</v>
      </c>
      <c r="U23" s="14">
        <v>5000</v>
      </c>
      <c r="V23" s="14">
        <v>20001</v>
      </c>
      <c r="W23" s="14" t="s">
        <v>135</v>
      </c>
      <c r="Y23" s="14">
        <v>2</v>
      </c>
      <c r="Z23" s="14">
        <v>0</v>
      </c>
      <c r="AA23" s="14">
        <v>0</v>
      </c>
    </row>
    <row r="24" spans="1:27" x14ac:dyDescent="0.15">
      <c r="A24" s="15">
        <v>11021</v>
      </c>
      <c r="B24" s="20" t="s">
        <v>143</v>
      </c>
      <c r="C24" s="14">
        <v>1</v>
      </c>
      <c r="E24" s="16" t="s">
        <v>144</v>
      </c>
      <c r="H24" s="14" t="s">
        <v>145</v>
      </c>
      <c r="I24" s="14"/>
      <c r="J24" s="14"/>
      <c r="O24" s="14">
        <v>5</v>
      </c>
      <c r="P24" s="14">
        <v>3</v>
      </c>
      <c r="Q24" s="14" t="s">
        <v>146</v>
      </c>
      <c r="R24" s="14" t="str" cm="1">
        <f t="array" aca="1" ref="R24" ca="1">_xlfn.TEXTJOIN(",",TRUE,MID(SUBSTITUTE(SUBSTITUTE(SUBSTITUTE(SUBSTITUTE($Q24,"↑","1"),"↓","2"),"←","3"),"→","4"),ROW(INDIRECT("1:"&amp;LEN($Q24))),1))</f>
        <v>4,2</v>
      </c>
      <c r="S24" s="14">
        <v>1</v>
      </c>
      <c r="T24" s="14" t="s">
        <v>51</v>
      </c>
      <c r="U24" s="14">
        <v>20</v>
      </c>
      <c r="V24" s="14">
        <v>20301</v>
      </c>
      <c r="W24" s="14" t="s">
        <v>57</v>
      </c>
      <c r="Y24" s="14">
        <v>2</v>
      </c>
      <c r="Z24" s="14">
        <v>0</v>
      </c>
      <c r="AA24" s="14">
        <v>1</v>
      </c>
    </row>
    <row r="25" spans="1:27" x14ac:dyDescent="0.15">
      <c r="A25" s="15">
        <v>11022</v>
      </c>
      <c r="B25" s="20" t="s">
        <v>138</v>
      </c>
      <c r="C25" s="14">
        <v>1</v>
      </c>
      <c r="E25" s="16" t="s">
        <v>139</v>
      </c>
      <c r="H25" s="14" t="s">
        <v>140</v>
      </c>
      <c r="I25" s="14"/>
      <c r="J25" s="14"/>
      <c r="L25" s="16" t="s">
        <v>147</v>
      </c>
      <c r="O25" s="14" t="s">
        <v>133</v>
      </c>
      <c r="P25" s="14">
        <v>999</v>
      </c>
      <c r="Q25" s="14" t="s">
        <v>142</v>
      </c>
      <c r="R25" s="14" t="str" cm="1">
        <f t="array" aca="1" ref="R25" ca="1">_xlfn.TEXTJOIN(",",TRUE,MID(SUBSTITUTE(SUBSTITUTE(SUBSTITUTE(SUBSTITUTE($Q25,"↑","1"),"↓","2"),"←","3"),"→","4"),ROW(INDIRECT("1:"&amp;LEN($Q25))),1))</f>
        <v>2,1</v>
      </c>
      <c r="S25" s="14">
        <v>1</v>
      </c>
      <c r="T25" s="14" t="s">
        <v>51</v>
      </c>
      <c r="U25" s="14">
        <v>5000</v>
      </c>
      <c r="V25" s="14">
        <v>20001</v>
      </c>
      <c r="W25" s="14" t="s">
        <v>135</v>
      </c>
      <c r="Y25" s="14">
        <v>2</v>
      </c>
      <c r="Z25" s="14">
        <v>0</v>
      </c>
      <c r="AA25" s="14">
        <v>0</v>
      </c>
    </row>
    <row r="26" spans="1:27" ht="33" x14ac:dyDescent="0.15">
      <c r="A26" s="15">
        <v>11023</v>
      </c>
      <c r="B26" s="15" t="s">
        <v>148</v>
      </c>
      <c r="C26" s="14">
        <v>1</v>
      </c>
      <c r="G26" s="16" t="s">
        <v>149</v>
      </c>
      <c r="H26" s="14"/>
      <c r="I26" s="14"/>
      <c r="J26" s="14" t="s">
        <v>150</v>
      </c>
      <c r="L26" s="16" t="s">
        <v>49</v>
      </c>
      <c r="O26" s="14">
        <v>1</v>
      </c>
      <c r="P26" s="14">
        <v>4</v>
      </c>
      <c r="Q26" s="14" t="s">
        <v>151</v>
      </c>
      <c r="R26" s="14" t="str" cm="1">
        <f t="array" aca="1" ref="R26" ca="1">_xlfn.TEXTJOIN(",",TRUE,MID(SUBSTITUTE(SUBSTITUTE(SUBSTITUTE(SUBSTITUTE($Q26,"↑","1"),"↓","2"),"←","3"),"→","4"),ROW(INDIRECT("1:"&amp;LEN($Q26))),1))</f>
        <v>2,2,3,4</v>
      </c>
      <c r="S26" s="14">
        <v>1</v>
      </c>
      <c r="T26" s="14" t="s">
        <v>51</v>
      </c>
      <c r="U26" s="14" t="s">
        <v>51</v>
      </c>
      <c r="V26" s="14">
        <v>20301</v>
      </c>
      <c r="W26" s="14" t="s">
        <v>57</v>
      </c>
      <c r="Y26" s="14">
        <v>2</v>
      </c>
      <c r="Z26" s="14">
        <v>0</v>
      </c>
      <c r="AA26" s="14">
        <v>1</v>
      </c>
    </row>
    <row r="27" spans="1:27" ht="33" x14ac:dyDescent="0.15">
      <c r="A27" s="15">
        <v>11024</v>
      </c>
      <c r="B27" s="15" t="s">
        <v>152</v>
      </c>
      <c r="C27" s="14">
        <v>1</v>
      </c>
      <c r="G27" s="16" t="s">
        <v>153</v>
      </c>
      <c r="H27" s="14" t="s">
        <v>154</v>
      </c>
      <c r="I27" s="14"/>
      <c r="J27" s="14"/>
      <c r="L27" s="16" t="s">
        <v>155</v>
      </c>
      <c r="O27" s="14">
        <v>2</v>
      </c>
      <c r="P27" s="14">
        <v>12</v>
      </c>
      <c r="Q27" s="14" t="s">
        <v>156</v>
      </c>
      <c r="R27" s="14" t="str" cm="1">
        <f t="array" aca="1" ref="R27" ca="1">_xlfn.TEXTJOIN(",",TRUE,MID(SUBSTITUTE(SUBSTITUTE(SUBSTITUTE(SUBSTITUTE($Q27,"↑","1"),"↓","2"),"←","3"),"→","4"),ROW(INDIRECT("1:"&amp;LEN($Q27))),1))</f>
        <v>1,4,2,3</v>
      </c>
      <c r="S27" s="14">
        <v>1</v>
      </c>
      <c r="T27" s="14" t="s">
        <v>51</v>
      </c>
      <c r="U27" s="14">
        <v>80</v>
      </c>
      <c r="V27" s="14">
        <v>20702</v>
      </c>
      <c r="W27" s="14" t="s">
        <v>157</v>
      </c>
      <c r="Y27" s="14">
        <v>2</v>
      </c>
      <c r="Z27" s="14">
        <v>0</v>
      </c>
      <c r="AA27" s="14">
        <v>1</v>
      </c>
    </row>
    <row r="28" spans="1:27" x14ac:dyDescent="0.15">
      <c r="A28" s="15">
        <v>11025</v>
      </c>
      <c r="B28" s="15" t="s">
        <v>158</v>
      </c>
      <c r="C28" s="14">
        <v>1</v>
      </c>
      <c r="G28" s="16" t="s">
        <v>159</v>
      </c>
      <c r="H28" s="14" t="s">
        <v>160</v>
      </c>
      <c r="I28" s="14"/>
      <c r="J28" s="14"/>
      <c r="L28" s="16" t="s">
        <v>123</v>
      </c>
      <c r="O28" s="14">
        <v>2</v>
      </c>
      <c r="P28" s="14">
        <v>10</v>
      </c>
      <c r="Q28" s="14" t="s">
        <v>156</v>
      </c>
      <c r="R28" s="14" t="str" cm="1">
        <f t="array" aca="1" ref="R28" ca="1">_xlfn.TEXTJOIN(",",TRUE,MID(SUBSTITUTE(SUBSTITUTE(SUBSTITUTE(SUBSTITUTE($Q28,"↑","1"),"↓","2"),"←","3"),"→","4"),ROW(INDIRECT("1:"&amp;LEN($Q28))),1))</f>
        <v>1,4,2,3</v>
      </c>
      <c r="S28" s="14">
        <v>1</v>
      </c>
      <c r="T28" s="14" t="s">
        <v>51</v>
      </c>
      <c r="U28" s="14">
        <v>40</v>
      </c>
      <c r="V28" s="14">
        <v>20301</v>
      </c>
      <c r="W28" s="14" t="s">
        <v>57</v>
      </c>
      <c r="Y28" s="14">
        <v>2</v>
      </c>
      <c r="Z28" s="14">
        <v>0</v>
      </c>
      <c r="AA28" s="14">
        <v>1</v>
      </c>
    </row>
    <row r="29" spans="1:27" x14ac:dyDescent="0.15">
      <c r="A29" s="15">
        <v>11026</v>
      </c>
      <c r="B29" s="15" t="s">
        <v>161</v>
      </c>
      <c r="C29" s="14">
        <v>1</v>
      </c>
      <c r="G29" s="14" t="s">
        <v>55</v>
      </c>
      <c r="H29" s="16" t="s">
        <v>162</v>
      </c>
      <c r="I29" s="14"/>
      <c r="J29" s="14"/>
      <c r="O29" s="14">
        <v>5</v>
      </c>
      <c r="P29" s="14">
        <v>5</v>
      </c>
      <c r="Q29" s="14" t="s">
        <v>163</v>
      </c>
      <c r="R29" s="14" t="str" cm="1">
        <f t="array" aca="1" ref="R29" ca="1">_xlfn.TEXTJOIN(",",TRUE,MID(SUBSTITUTE(SUBSTITUTE(SUBSTITUTE(SUBSTITUTE($Q29,"↑","1"),"↓","2"),"←","3"),"→","4"),ROW(INDIRECT("1:"&amp;LEN($Q29))),1))</f>
        <v>2,3,3</v>
      </c>
      <c r="S29" s="14">
        <v>1</v>
      </c>
      <c r="T29" s="14">
        <v>20</v>
      </c>
      <c r="U29" s="14" t="s">
        <v>51</v>
      </c>
      <c r="V29" s="14">
        <v>20303</v>
      </c>
      <c r="W29" s="14" t="s">
        <v>83</v>
      </c>
      <c r="Y29" s="14">
        <v>2</v>
      </c>
      <c r="Z29" s="14">
        <v>0</v>
      </c>
      <c r="AA29" s="14">
        <v>1</v>
      </c>
    </row>
    <row r="30" spans="1:27" ht="33" x14ac:dyDescent="0.15">
      <c r="A30" s="15">
        <v>11027</v>
      </c>
      <c r="B30" s="15" t="s">
        <v>164</v>
      </c>
      <c r="C30" s="14">
        <v>1</v>
      </c>
      <c r="G30" s="16" t="s">
        <v>165</v>
      </c>
      <c r="H30" s="14"/>
      <c r="I30" s="14"/>
      <c r="J30" s="14" t="s">
        <v>166</v>
      </c>
      <c r="O30" s="14">
        <v>1</v>
      </c>
      <c r="P30" s="14">
        <v>3</v>
      </c>
      <c r="Q30" s="14" t="s">
        <v>167</v>
      </c>
      <c r="R30" s="14" t="str" cm="1">
        <f t="array" aca="1" ref="R30" ca="1">_xlfn.TEXTJOIN(",",TRUE,MID(SUBSTITUTE(SUBSTITUTE(SUBSTITUTE(SUBSTITUTE($Q30,"↑","1"),"↓","2"),"←","3"),"→","4"),ROW(INDIRECT("1:"&amp;LEN($Q30))),1))</f>
        <v>2,4</v>
      </c>
      <c r="S30" s="14">
        <v>1</v>
      </c>
      <c r="T30" s="14" t="s">
        <v>51</v>
      </c>
      <c r="U30" s="14">
        <v>20</v>
      </c>
      <c r="V30" s="14">
        <v>20306</v>
      </c>
      <c r="W30" s="14" t="s">
        <v>106</v>
      </c>
      <c r="Y30" s="14">
        <v>2</v>
      </c>
      <c r="Z30" s="14">
        <v>0</v>
      </c>
      <c r="AA30" s="14">
        <v>1</v>
      </c>
    </row>
    <row r="31" spans="1:27" x14ac:dyDescent="0.15">
      <c r="A31" s="15">
        <v>11028</v>
      </c>
      <c r="B31" s="15" t="s">
        <v>168</v>
      </c>
      <c r="C31" s="14">
        <v>1</v>
      </c>
      <c r="G31" s="16" t="s">
        <v>169</v>
      </c>
      <c r="H31" s="14" t="s">
        <v>170</v>
      </c>
      <c r="I31" s="14"/>
      <c r="J31" s="14"/>
      <c r="N31" s="16" t="s">
        <v>171</v>
      </c>
      <c r="O31" s="14">
        <v>1</v>
      </c>
      <c r="P31" s="14">
        <v>999</v>
      </c>
      <c r="Q31" s="14" t="s">
        <v>110</v>
      </c>
      <c r="R31" s="14" t="str" cm="1">
        <f t="array" aca="1" ref="R31" ca="1">_xlfn.TEXTJOIN(",",TRUE,MID(SUBSTITUTE(SUBSTITUTE(SUBSTITUTE(SUBSTITUTE($Q31,"↑","1"),"↓","2"),"←","3"),"→","4"),ROW(INDIRECT("1:"&amp;LEN($Q31))),1))</f>
        <v>3</v>
      </c>
      <c r="S31" s="14">
        <v>1</v>
      </c>
      <c r="T31" s="14" t="s">
        <v>51</v>
      </c>
      <c r="U31" s="14" t="s">
        <v>51</v>
      </c>
      <c r="V31" s="14">
        <v>20001</v>
      </c>
      <c r="W31" s="14" t="s">
        <v>135</v>
      </c>
      <c r="Y31" s="14">
        <v>2</v>
      </c>
      <c r="Z31" s="14">
        <v>0</v>
      </c>
      <c r="AA31" s="14">
        <v>0</v>
      </c>
    </row>
    <row r="32" spans="1:27" x14ac:dyDescent="0.15">
      <c r="A32" s="15">
        <v>11029</v>
      </c>
      <c r="B32" s="15" t="s">
        <v>172</v>
      </c>
      <c r="C32" s="14">
        <v>1</v>
      </c>
      <c r="H32" s="14" t="s">
        <v>173</v>
      </c>
      <c r="I32" s="14"/>
      <c r="J32" s="14"/>
      <c r="L32" s="16" t="s">
        <v>174</v>
      </c>
      <c r="O32" s="14">
        <v>5</v>
      </c>
      <c r="P32" s="14">
        <v>3</v>
      </c>
      <c r="Q32" s="14" t="s">
        <v>175</v>
      </c>
      <c r="R32" s="14" t="str" cm="1">
        <f t="array" aca="1" ref="R32" ca="1">_xlfn.TEXTJOIN(",",TRUE,MID(SUBSTITUTE(SUBSTITUTE(SUBSTITUTE(SUBSTITUTE($Q32,"↑","1"),"↓","2"),"←","3"),"→","4"),ROW(INDIRECT("1:"&amp;LEN($Q32))),1))</f>
        <v>3,3,3</v>
      </c>
      <c r="S32" s="14">
        <v>1</v>
      </c>
      <c r="T32" s="14" t="s">
        <v>51</v>
      </c>
      <c r="U32" s="14">
        <v>25</v>
      </c>
      <c r="V32" s="14">
        <v>20201</v>
      </c>
      <c r="W32" s="14" t="s">
        <v>61</v>
      </c>
      <c r="Y32" s="14">
        <v>2</v>
      </c>
      <c r="Z32" s="14">
        <v>0</v>
      </c>
      <c r="AA32" s="14">
        <v>1</v>
      </c>
    </row>
    <row r="33" spans="1:27" x14ac:dyDescent="0.15">
      <c r="A33" s="15">
        <v>11030</v>
      </c>
      <c r="B33" s="15" t="s">
        <v>176</v>
      </c>
      <c r="C33" s="14">
        <v>1</v>
      </c>
      <c r="E33" s="16" t="s">
        <v>177</v>
      </c>
      <c r="H33" s="14"/>
      <c r="I33" s="14"/>
      <c r="J33" s="14"/>
      <c r="L33" s="16" t="s">
        <v>178</v>
      </c>
      <c r="N33" s="16" t="s">
        <v>179</v>
      </c>
      <c r="O33" s="14">
        <v>1</v>
      </c>
      <c r="P33" s="14">
        <v>2</v>
      </c>
      <c r="Q33" s="14" t="s">
        <v>92</v>
      </c>
      <c r="R33" s="14" t="str" cm="1">
        <f t="array" aca="1" ref="R33" ca="1">_xlfn.TEXTJOIN(",",TRUE,MID(SUBSTITUTE(SUBSTITUTE(SUBSTITUTE(SUBSTITUTE($Q33,"↑","1"),"↓","2"),"←","3"),"→","4"),ROW(INDIRECT("1:"&amp;LEN($Q33))),1))</f>
        <v>1,1</v>
      </c>
      <c r="S33" s="14">
        <v>1</v>
      </c>
      <c r="T33" s="14" t="s">
        <v>51</v>
      </c>
      <c r="U33" s="14">
        <v>10</v>
      </c>
      <c r="V33" s="14">
        <v>20205</v>
      </c>
      <c r="W33" s="14" t="s">
        <v>180</v>
      </c>
      <c r="Y33" s="14">
        <v>2</v>
      </c>
      <c r="Z33" s="14">
        <v>0</v>
      </c>
      <c r="AA33" s="14">
        <v>1</v>
      </c>
    </row>
    <row r="34" spans="1:27" x14ac:dyDescent="0.15">
      <c r="A34" s="15">
        <v>11031</v>
      </c>
      <c r="B34" s="15" t="s">
        <v>181</v>
      </c>
      <c r="C34" s="14">
        <v>1</v>
      </c>
      <c r="E34" s="16" t="s">
        <v>182</v>
      </c>
      <c r="H34" s="16" t="s">
        <v>183</v>
      </c>
      <c r="I34" s="14"/>
      <c r="J34" s="14"/>
      <c r="O34" s="14">
        <v>1</v>
      </c>
      <c r="P34" s="14">
        <v>5</v>
      </c>
      <c r="Q34" s="14" t="s">
        <v>124</v>
      </c>
      <c r="R34" s="14" t="str" cm="1">
        <f t="array" aca="1" ref="R34" ca="1">_xlfn.TEXTJOIN(",",TRUE,MID(SUBSTITUTE(SUBSTITUTE(SUBSTITUTE(SUBSTITUTE($Q34,"↑","1"),"↓","2"),"←","3"),"→","4"),ROW(INDIRECT("1:"&amp;LEN($Q34))),1))</f>
        <v>1,2</v>
      </c>
      <c r="S34" s="14">
        <v>1</v>
      </c>
      <c r="T34" s="14">
        <v>5</v>
      </c>
      <c r="U34" s="14" t="s">
        <v>51</v>
      </c>
      <c r="V34" s="14">
        <v>20203</v>
      </c>
      <c r="W34" s="14" t="s">
        <v>184</v>
      </c>
      <c r="Y34" s="14">
        <v>2</v>
      </c>
      <c r="Z34" s="14">
        <v>0</v>
      </c>
      <c r="AA34" s="14">
        <v>1</v>
      </c>
    </row>
    <row r="35" spans="1:27" ht="49.5" x14ac:dyDescent="0.15">
      <c r="A35" s="15">
        <v>11032</v>
      </c>
      <c r="B35" s="15" t="s">
        <v>185</v>
      </c>
      <c r="C35" s="14">
        <v>1</v>
      </c>
      <c r="G35" s="16" t="s">
        <v>1071</v>
      </c>
      <c r="H35" s="14"/>
      <c r="I35" s="14"/>
      <c r="J35" s="14"/>
      <c r="L35" s="16" t="s">
        <v>49</v>
      </c>
      <c r="O35" s="14" t="s">
        <v>186</v>
      </c>
      <c r="P35" s="14">
        <v>7</v>
      </c>
      <c r="Q35" s="14" t="s">
        <v>187</v>
      </c>
      <c r="R35" s="14" t="str" cm="1">
        <f t="array" aca="1" ref="R35" ca="1">_xlfn.TEXTJOIN(",",TRUE,MID(SUBSTITUTE(SUBSTITUTE(SUBSTITUTE(SUBSTITUTE($Q35,"↑","1"),"↓","2"),"←","3"),"→","4"),ROW(INDIRECT("1:"&amp;LEN($Q35))),1))</f>
        <v>2,1,2</v>
      </c>
      <c r="S35" s="14">
        <v>1</v>
      </c>
      <c r="T35" s="14" t="s">
        <v>51</v>
      </c>
      <c r="U35" s="14" t="s">
        <v>51</v>
      </c>
      <c r="V35" s="14">
        <v>20205</v>
      </c>
      <c r="W35" s="14" t="s">
        <v>180</v>
      </c>
      <c r="Y35" s="14">
        <v>2</v>
      </c>
      <c r="Z35" s="14">
        <v>1</v>
      </c>
      <c r="AA35" s="14">
        <v>1</v>
      </c>
    </row>
    <row r="36" spans="1:27" x14ac:dyDescent="0.15">
      <c r="A36" s="15">
        <v>11033</v>
      </c>
      <c r="B36" s="15" t="s">
        <v>188</v>
      </c>
      <c r="C36" s="14">
        <v>1</v>
      </c>
      <c r="H36" s="16" t="s">
        <v>189</v>
      </c>
      <c r="I36" s="14"/>
      <c r="L36" s="16" t="s">
        <v>190</v>
      </c>
      <c r="N36" s="16" t="s">
        <v>191</v>
      </c>
      <c r="O36" s="14">
        <v>1</v>
      </c>
      <c r="P36" s="14">
        <v>1</v>
      </c>
      <c r="Q36" s="14" t="s">
        <v>97</v>
      </c>
      <c r="R36" s="14" t="str" cm="1">
        <f t="array" aca="1" ref="R36" ca="1">_xlfn.TEXTJOIN(",",TRUE,MID(SUBSTITUTE(SUBSTITUTE(SUBSTITUTE(SUBSTITUTE($Q36,"↑","1"),"↓","2"),"←","3"),"→","4"),ROW(INDIRECT("1:"&amp;LEN($Q36))),1))</f>
        <v>1,1,3</v>
      </c>
      <c r="S36" s="14">
        <v>1</v>
      </c>
      <c r="T36" s="14">
        <v>15</v>
      </c>
      <c r="U36" s="14" t="s">
        <v>51</v>
      </c>
      <c r="V36" s="14">
        <v>20403</v>
      </c>
      <c r="W36" s="14" t="s">
        <v>192</v>
      </c>
      <c r="Y36" s="14">
        <v>2</v>
      </c>
      <c r="Z36" s="14">
        <v>0</v>
      </c>
      <c r="AA36" s="14">
        <v>1</v>
      </c>
    </row>
    <row r="37" spans="1:27" x14ac:dyDescent="0.15">
      <c r="A37" s="21">
        <v>11034</v>
      </c>
      <c r="B37" s="21" t="s">
        <v>193</v>
      </c>
      <c r="C37" s="14">
        <v>1</v>
      </c>
      <c r="E37" s="14" t="s">
        <v>194</v>
      </c>
      <c r="H37" s="16" t="s">
        <v>195</v>
      </c>
      <c r="I37" s="14"/>
      <c r="J37" s="14"/>
      <c r="O37" s="14">
        <v>2</v>
      </c>
      <c r="P37" s="14">
        <v>12</v>
      </c>
      <c r="Q37" s="14" t="s">
        <v>196</v>
      </c>
      <c r="R37" s="14" t="str" cm="1">
        <f t="array" aca="1" ref="R37" ca="1">_xlfn.TEXTJOIN(",",TRUE,MID(SUBSTITUTE(SUBSTITUTE(SUBSTITUTE(SUBSTITUTE($Q37,"↑","1"),"↓","2"),"←","3"),"→","4"),ROW(INDIRECT("1:"&amp;LEN($Q37))),1))</f>
        <v>3,4,1</v>
      </c>
      <c r="S37" s="14">
        <v>1</v>
      </c>
      <c r="T37" s="14">
        <v>30</v>
      </c>
      <c r="U37" s="14" t="s">
        <v>51</v>
      </c>
      <c r="Y37" s="14">
        <v>2</v>
      </c>
      <c r="Z37" s="14">
        <v>0</v>
      </c>
      <c r="AA37" s="14">
        <v>1</v>
      </c>
    </row>
    <row r="38" spans="1:27" ht="33" x14ac:dyDescent="0.15">
      <c r="A38" s="15">
        <v>11035</v>
      </c>
      <c r="B38" s="15" t="s">
        <v>197</v>
      </c>
      <c r="C38" s="14">
        <v>1</v>
      </c>
      <c r="E38" s="16" t="s">
        <v>198</v>
      </c>
      <c r="H38" s="14" t="s">
        <v>199</v>
      </c>
      <c r="I38" s="14"/>
      <c r="J38" s="14"/>
      <c r="L38" s="16" t="s">
        <v>200</v>
      </c>
      <c r="N38" s="16" t="s">
        <v>201</v>
      </c>
      <c r="O38" s="14" t="s">
        <v>202</v>
      </c>
      <c r="P38" s="14">
        <v>999</v>
      </c>
      <c r="R38" s="14" t="e" cm="1">
        <f t="array" aca="1" ref="R38" ca="1">_xlfn.TEXTJOIN(",",TRUE,MID(SUBSTITUTE(SUBSTITUTE(SUBSTITUTE(SUBSTITUTE($Q38,"↑","1"),"↓","2"),"←","3"),"→","4"),ROW(INDIRECT("1:"&amp;LEN($Q38))),1))</f>
        <v>#REF!</v>
      </c>
      <c r="S38" s="14">
        <v>1</v>
      </c>
      <c r="V38" s="14">
        <v>20001</v>
      </c>
      <c r="W38" s="14" t="s">
        <v>135</v>
      </c>
      <c r="Y38" s="14">
        <v>2</v>
      </c>
      <c r="Z38" s="14">
        <v>0</v>
      </c>
      <c r="AA38" s="14">
        <v>0</v>
      </c>
    </row>
    <row r="39" spans="1:27" ht="33" x14ac:dyDescent="0.15">
      <c r="A39" s="15">
        <v>11036</v>
      </c>
      <c r="B39" s="15" t="s">
        <v>203</v>
      </c>
      <c r="C39" s="14">
        <v>1</v>
      </c>
      <c r="H39" s="16" t="s">
        <v>204</v>
      </c>
      <c r="O39" s="14" t="s">
        <v>202</v>
      </c>
      <c r="P39" s="14">
        <v>999</v>
      </c>
      <c r="R39" s="14" t="e" cm="1">
        <f t="array" aca="1" ref="R39" ca="1">_xlfn.TEXTJOIN(",",TRUE,MID(SUBSTITUTE(SUBSTITUTE(SUBSTITUTE(SUBSTITUTE($Q39,"↑","1"),"↓","2"),"←","3"),"→","4"),ROW(INDIRECT("1:"&amp;LEN($Q39))),1))</f>
        <v>#REF!</v>
      </c>
      <c r="S39" s="14">
        <v>1</v>
      </c>
      <c r="V39" s="14">
        <v>20001</v>
      </c>
      <c r="W39" s="14" t="s">
        <v>135</v>
      </c>
      <c r="Y39" s="14">
        <v>2</v>
      </c>
      <c r="Z39" s="14">
        <v>0</v>
      </c>
      <c r="AA39" s="14">
        <v>0</v>
      </c>
    </row>
    <row r="40" spans="1:27" x14ac:dyDescent="0.15">
      <c r="A40" s="15">
        <v>11037</v>
      </c>
      <c r="B40" s="15" t="s">
        <v>205</v>
      </c>
      <c r="C40" s="14">
        <v>1</v>
      </c>
      <c r="H40" s="14" t="s">
        <v>206</v>
      </c>
      <c r="I40" s="14"/>
      <c r="J40" s="16" t="s">
        <v>207</v>
      </c>
      <c r="O40" s="14" t="s">
        <v>202</v>
      </c>
      <c r="P40" s="14">
        <v>999</v>
      </c>
      <c r="R40" s="14" t="e" cm="1">
        <f t="array" aca="1" ref="R40" ca="1">_xlfn.TEXTJOIN(",",TRUE,MID(SUBSTITUTE(SUBSTITUTE(SUBSTITUTE(SUBSTITUTE($Q40,"↑","1"),"↓","2"),"←","3"),"→","4"),ROW(INDIRECT("1:"&amp;LEN($Q40))),1))</f>
        <v>#REF!</v>
      </c>
      <c r="S40" s="14">
        <v>1</v>
      </c>
      <c r="V40" s="14">
        <v>20001</v>
      </c>
      <c r="W40" s="14" t="s">
        <v>135</v>
      </c>
      <c r="Y40" s="14">
        <v>2</v>
      </c>
      <c r="Z40" s="14">
        <v>0</v>
      </c>
      <c r="AA40" s="14">
        <v>0</v>
      </c>
    </row>
    <row r="41" spans="1:27" ht="33" x14ac:dyDescent="0.15">
      <c r="A41" s="15">
        <v>11038</v>
      </c>
      <c r="B41" s="15" t="s">
        <v>208</v>
      </c>
      <c r="C41" s="14">
        <v>1</v>
      </c>
      <c r="G41" s="16" t="s">
        <v>149</v>
      </c>
      <c r="H41" s="14" t="s">
        <v>209</v>
      </c>
      <c r="I41" s="14"/>
      <c r="J41" s="16" t="s">
        <v>48</v>
      </c>
      <c r="O41" s="14" t="s">
        <v>210</v>
      </c>
      <c r="P41" s="14">
        <v>999</v>
      </c>
      <c r="R41" s="14" t="e" cm="1">
        <f t="array" aca="1" ref="R41" ca="1">_xlfn.TEXTJOIN(",",TRUE,MID(SUBSTITUTE(SUBSTITUTE(SUBSTITUTE(SUBSTITUTE($Q41,"↑","1"),"↓","2"),"←","3"),"→","4"),ROW(INDIRECT("1:"&amp;LEN($Q41))),1))</f>
        <v>#REF!</v>
      </c>
      <c r="S41" s="14">
        <v>1</v>
      </c>
      <c r="V41" s="14">
        <v>20001</v>
      </c>
      <c r="W41" s="14" t="s">
        <v>135</v>
      </c>
      <c r="Y41" s="14">
        <v>2</v>
      </c>
      <c r="Z41" s="14">
        <v>0</v>
      </c>
      <c r="AA41" s="14">
        <v>0</v>
      </c>
    </row>
    <row r="42" spans="1:27" ht="33" x14ac:dyDescent="0.15">
      <c r="A42" s="15">
        <v>11039</v>
      </c>
      <c r="B42" s="15" t="s">
        <v>1095</v>
      </c>
      <c r="C42" s="14">
        <v>1</v>
      </c>
      <c r="F42" s="14"/>
      <c r="G42" s="16" t="s">
        <v>211</v>
      </c>
      <c r="H42" s="14" t="s">
        <v>212</v>
      </c>
      <c r="N42" s="16" t="s">
        <v>213</v>
      </c>
      <c r="O42" s="14" t="s">
        <v>210</v>
      </c>
      <c r="P42" s="14">
        <v>999</v>
      </c>
      <c r="R42" s="14" t="e" cm="1">
        <f t="array" aca="1" ref="R42" ca="1">_xlfn.TEXTJOIN(",",TRUE,MID(SUBSTITUTE(SUBSTITUTE(SUBSTITUTE(SUBSTITUTE($Q42,"↑","1"),"↓","2"),"←","3"),"→","4"),ROW(INDIRECT("1:"&amp;LEN($Q42))),1))</f>
        <v>#REF!</v>
      </c>
      <c r="S42" s="14">
        <v>1</v>
      </c>
      <c r="V42" s="14">
        <v>20001</v>
      </c>
      <c r="W42" s="14" t="s">
        <v>135</v>
      </c>
      <c r="Y42" s="14">
        <v>2</v>
      </c>
      <c r="Z42" s="14">
        <v>0</v>
      </c>
      <c r="AA42" s="14">
        <v>0</v>
      </c>
    </row>
    <row r="43" spans="1:27" ht="33" x14ac:dyDescent="0.15">
      <c r="A43" s="15">
        <v>11040</v>
      </c>
      <c r="B43" s="15" t="s">
        <v>203</v>
      </c>
      <c r="C43" s="14">
        <v>1</v>
      </c>
      <c r="H43" s="16" t="s">
        <v>214</v>
      </c>
      <c r="O43" s="14" t="s">
        <v>202</v>
      </c>
      <c r="P43" s="14">
        <v>999</v>
      </c>
      <c r="R43" s="14" t="e" cm="1">
        <f t="array" aca="1" ref="R43" ca="1">_xlfn.TEXTJOIN(",",TRUE,MID(SUBSTITUTE(SUBSTITUTE(SUBSTITUTE(SUBSTITUTE($Q43,"↑","1"),"↓","2"),"←","3"),"→","4"),ROW(INDIRECT("1:"&amp;LEN($Q43))),1))</f>
        <v>#REF!</v>
      </c>
      <c r="S43" s="14">
        <v>1</v>
      </c>
      <c r="V43" s="14">
        <v>20001</v>
      </c>
      <c r="W43" s="14" t="s">
        <v>135</v>
      </c>
      <c r="Y43" s="14">
        <v>2</v>
      </c>
      <c r="Z43" s="14">
        <v>0</v>
      </c>
      <c r="AA43" s="14">
        <v>0</v>
      </c>
    </row>
    <row r="44" spans="1:27" ht="33" x14ac:dyDescent="0.15">
      <c r="A44" s="15">
        <v>11041</v>
      </c>
      <c r="B44" s="20" t="s">
        <v>129</v>
      </c>
      <c r="C44" s="14">
        <v>1</v>
      </c>
      <c r="G44" s="16" t="s">
        <v>130</v>
      </c>
      <c r="H44" s="14" t="s">
        <v>215</v>
      </c>
      <c r="I44" s="14"/>
      <c r="J44" s="14"/>
      <c r="L44" s="16" t="s">
        <v>216</v>
      </c>
      <c r="O44" s="14" t="s">
        <v>133</v>
      </c>
      <c r="P44" s="14">
        <v>999</v>
      </c>
      <c r="Q44" s="14" t="s">
        <v>134</v>
      </c>
      <c r="R44" s="14" t="str" cm="1">
        <f t="array" aca="1" ref="R44" ca="1">_xlfn.TEXTJOIN(",",TRUE,MID(SUBSTITUTE(SUBSTITUTE(SUBSTITUTE(SUBSTITUTE($Q44,"↑","1"),"↓","2"),"←","3"),"→","4"),ROW(INDIRECT("1:"&amp;LEN($Q44))),1))</f>
        <v>1,1,4,2</v>
      </c>
      <c r="S44" s="14">
        <v>1</v>
      </c>
      <c r="V44" s="14">
        <v>20001</v>
      </c>
      <c r="W44" s="14" t="s">
        <v>135</v>
      </c>
      <c r="Y44" s="14">
        <v>2</v>
      </c>
      <c r="Z44" s="14">
        <v>0</v>
      </c>
      <c r="AA44" s="14">
        <v>0</v>
      </c>
    </row>
    <row r="45" spans="1:27" ht="33" x14ac:dyDescent="0.15">
      <c r="A45" s="15">
        <v>11042</v>
      </c>
      <c r="B45" s="20" t="s">
        <v>129</v>
      </c>
      <c r="C45" s="14">
        <v>1</v>
      </c>
      <c r="G45" s="16" t="s">
        <v>130</v>
      </c>
      <c r="H45" s="14" t="s">
        <v>217</v>
      </c>
      <c r="I45" s="14"/>
      <c r="J45" s="14"/>
      <c r="L45" s="16" t="s">
        <v>218</v>
      </c>
      <c r="O45" s="14" t="s">
        <v>133</v>
      </c>
      <c r="P45" s="14">
        <v>999</v>
      </c>
      <c r="Q45" s="14" t="s">
        <v>134</v>
      </c>
      <c r="R45" s="14" t="str" cm="1">
        <f t="array" aca="1" ref="R45" ca="1">_xlfn.TEXTJOIN(",",TRUE,MID(SUBSTITUTE(SUBSTITUTE(SUBSTITUTE(SUBSTITUTE($Q45,"↑","1"),"↓","2"),"←","3"),"→","4"),ROW(INDIRECT("1:"&amp;LEN($Q45))),1))</f>
        <v>1,1,4,2</v>
      </c>
      <c r="S45" s="14">
        <v>1</v>
      </c>
      <c r="V45" s="14">
        <v>20001</v>
      </c>
      <c r="W45" s="14" t="s">
        <v>135</v>
      </c>
      <c r="Y45" s="14">
        <v>2</v>
      </c>
      <c r="Z45" s="14">
        <v>0</v>
      </c>
      <c r="AA45" s="14">
        <v>0</v>
      </c>
    </row>
    <row r="46" spans="1:27" x14ac:dyDescent="0.15">
      <c r="A46" s="15">
        <v>11043</v>
      </c>
      <c r="B46" s="20" t="s">
        <v>138</v>
      </c>
      <c r="C46" s="14">
        <v>1</v>
      </c>
      <c r="E46" s="16" t="s">
        <v>139</v>
      </c>
      <c r="H46" s="14" t="s">
        <v>140</v>
      </c>
      <c r="I46" s="14"/>
      <c r="J46" s="14"/>
      <c r="L46" s="16" t="s">
        <v>216</v>
      </c>
      <c r="O46" s="14" t="s">
        <v>133</v>
      </c>
      <c r="P46" s="14">
        <v>999</v>
      </c>
      <c r="Q46" s="14" t="s">
        <v>142</v>
      </c>
      <c r="R46" s="14" t="str" cm="1">
        <f t="array" aca="1" ref="R46" ca="1">_xlfn.TEXTJOIN(",",TRUE,MID(SUBSTITUTE(SUBSTITUTE(SUBSTITUTE(SUBSTITUTE($Q46,"↑","1"),"↓","2"),"←","3"),"→","4"),ROW(INDIRECT("1:"&amp;LEN($Q46))),1))</f>
        <v>2,1</v>
      </c>
      <c r="S46" s="14">
        <v>1</v>
      </c>
      <c r="V46" s="14">
        <v>20001</v>
      </c>
      <c r="W46" s="14" t="s">
        <v>135</v>
      </c>
      <c r="Y46" s="14">
        <v>2</v>
      </c>
      <c r="Z46" s="14">
        <v>0</v>
      </c>
      <c r="AA46" s="14">
        <v>0</v>
      </c>
    </row>
    <row r="47" spans="1:27" x14ac:dyDescent="0.15">
      <c r="A47" s="15">
        <v>11044</v>
      </c>
      <c r="B47" s="20" t="s">
        <v>138</v>
      </c>
      <c r="C47" s="14">
        <v>1</v>
      </c>
      <c r="E47" s="16" t="s">
        <v>139</v>
      </c>
      <c r="H47" s="14" t="s">
        <v>140</v>
      </c>
      <c r="I47" s="14"/>
      <c r="J47" s="14"/>
      <c r="L47" s="16" t="s">
        <v>218</v>
      </c>
      <c r="O47" s="14" t="s">
        <v>133</v>
      </c>
      <c r="P47" s="14">
        <v>999</v>
      </c>
      <c r="Q47" s="14" t="s">
        <v>142</v>
      </c>
      <c r="R47" s="14" t="str" cm="1">
        <f t="array" aca="1" ref="R47" ca="1">_xlfn.TEXTJOIN(",",TRUE,MID(SUBSTITUTE(SUBSTITUTE(SUBSTITUTE(SUBSTITUTE($Q47,"↑","1"),"↓","2"),"←","3"),"→","4"),ROW(INDIRECT("1:"&amp;LEN($Q47))),1))</f>
        <v>2,1</v>
      </c>
      <c r="S47" s="14">
        <v>1</v>
      </c>
      <c r="V47" s="14">
        <v>20001</v>
      </c>
      <c r="W47" s="14" t="s">
        <v>135</v>
      </c>
      <c r="Y47" s="14">
        <v>2</v>
      </c>
      <c r="Z47" s="14">
        <v>0</v>
      </c>
      <c r="AA47" s="14">
        <v>0</v>
      </c>
    </row>
    <row r="48" spans="1:27" ht="33" x14ac:dyDescent="0.15">
      <c r="A48" s="15">
        <v>11045</v>
      </c>
      <c r="B48" s="15" t="s">
        <v>197</v>
      </c>
      <c r="C48" s="14">
        <v>1</v>
      </c>
      <c r="E48" s="16" t="s">
        <v>219</v>
      </c>
      <c r="H48" s="14" t="s">
        <v>199</v>
      </c>
      <c r="I48" s="14"/>
      <c r="J48" s="14"/>
      <c r="L48" s="16" t="s">
        <v>200</v>
      </c>
      <c r="N48" s="16" t="s">
        <v>201</v>
      </c>
      <c r="O48" s="14" t="s">
        <v>202</v>
      </c>
      <c r="P48" s="14">
        <v>999</v>
      </c>
      <c r="R48" s="14" t="e" cm="1">
        <f t="array" aca="1" ref="R48" ca="1">_xlfn.TEXTJOIN(",",TRUE,MID(SUBSTITUTE(SUBSTITUTE(SUBSTITUTE(SUBSTITUTE($Q48,"↑","1"),"↓","2"),"←","3"),"→","4"),ROW(INDIRECT("1:"&amp;LEN($Q48))),1))</f>
        <v>#REF!</v>
      </c>
      <c r="S48" s="14">
        <v>1</v>
      </c>
      <c r="V48" s="14">
        <v>20001</v>
      </c>
      <c r="W48" s="14" t="s">
        <v>135</v>
      </c>
      <c r="Y48" s="14">
        <v>2</v>
      </c>
      <c r="Z48" s="14">
        <v>0</v>
      </c>
      <c r="AA48" s="14">
        <v>0</v>
      </c>
    </row>
    <row r="49" spans="1:27" ht="33" x14ac:dyDescent="0.15">
      <c r="A49" s="15">
        <v>11046</v>
      </c>
      <c r="B49" s="15" t="s">
        <v>203</v>
      </c>
      <c r="C49" s="14">
        <v>1</v>
      </c>
      <c r="H49" s="16" t="s">
        <v>214</v>
      </c>
      <c r="O49" s="14" t="s">
        <v>202</v>
      </c>
      <c r="P49" s="14">
        <v>999</v>
      </c>
      <c r="R49" s="14" t="e" cm="1">
        <f t="array" aca="1" ref="R49" ca="1">_xlfn.TEXTJOIN(",",TRUE,MID(SUBSTITUTE(SUBSTITUTE(SUBSTITUTE(SUBSTITUTE($Q49,"↑","1"),"↓","2"),"←","3"),"→","4"),ROW(INDIRECT("1:"&amp;LEN($Q49))),1))</f>
        <v>#REF!</v>
      </c>
      <c r="S49" s="14">
        <v>1</v>
      </c>
      <c r="V49" s="14">
        <v>20001</v>
      </c>
      <c r="W49" s="14" t="s">
        <v>135</v>
      </c>
      <c r="Y49" s="14">
        <v>2</v>
      </c>
      <c r="Z49" s="14">
        <v>0</v>
      </c>
      <c r="AA49" s="14">
        <v>0</v>
      </c>
    </row>
    <row r="50" spans="1:27" ht="33" x14ac:dyDescent="0.15">
      <c r="A50" s="15">
        <v>11047</v>
      </c>
      <c r="B50" s="15" t="s">
        <v>205</v>
      </c>
      <c r="C50" s="14">
        <v>1</v>
      </c>
      <c r="H50" s="14" t="s">
        <v>206</v>
      </c>
      <c r="I50" s="14"/>
      <c r="J50" s="16" t="s">
        <v>220</v>
      </c>
      <c r="O50" s="14" t="s">
        <v>202</v>
      </c>
      <c r="P50" s="14">
        <v>999</v>
      </c>
      <c r="R50" s="14" t="e" cm="1">
        <f t="array" aca="1" ref="R50" ca="1">_xlfn.TEXTJOIN(",",TRUE,MID(SUBSTITUTE(SUBSTITUTE(SUBSTITUTE(SUBSTITUTE($Q50,"↑","1"),"↓","2"),"←","3"),"→","4"),ROW(INDIRECT("1:"&amp;LEN($Q50))),1))</f>
        <v>#REF!</v>
      </c>
      <c r="S50" s="14">
        <v>1</v>
      </c>
      <c r="V50" s="14">
        <v>20001</v>
      </c>
      <c r="W50" s="14" t="s">
        <v>135</v>
      </c>
      <c r="Y50" s="14">
        <v>2</v>
      </c>
      <c r="Z50" s="14">
        <v>0</v>
      </c>
      <c r="AA50" s="14">
        <v>0</v>
      </c>
    </row>
    <row r="51" spans="1:27" x14ac:dyDescent="0.15">
      <c r="A51" s="15">
        <v>11048</v>
      </c>
      <c r="C51" s="14">
        <v>1</v>
      </c>
      <c r="H51" s="16" t="s">
        <v>221</v>
      </c>
      <c r="I51" s="14"/>
      <c r="J51" s="14"/>
      <c r="R51" s="14" t="e" cm="1">
        <f t="array" aca="1" ref="R51" ca="1">_xlfn.TEXTJOIN(",",TRUE,MID(SUBSTITUTE(SUBSTITUTE(SUBSTITUTE(SUBSTITUTE($Q51,"↑","1"),"↓","2"),"←","3"),"→","4"),ROW(INDIRECT("1:"&amp;LEN($Q51))),1))</f>
        <v>#REF!</v>
      </c>
      <c r="Y51" s="14">
        <v>2</v>
      </c>
      <c r="Z51" s="14">
        <v>0</v>
      </c>
      <c r="AA51" s="14">
        <v>1</v>
      </c>
    </row>
    <row r="52" spans="1:27" x14ac:dyDescent="0.15">
      <c r="A52" s="15">
        <v>11049</v>
      </c>
      <c r="C52" s="14">
        <v>1</v>
      </c>
      <c r="H52" s="14" t="s">
        <v>222</v>
      </c>
      <c r="I52" s="14"/>
      <c r="J52" s="14"/>
      <c r="R52" s="14" t="e" cm="1">
        <f t="array" aca="1" ref="R52" ca="1">_xlfn.TEXTJOIN(",",TRUE,MID(SUBSTITUTE(SUBSTITUTE(SUBSTITUTE(SUBSTITUTE($Q52,"↑","1"),"↓","2"),"←","3"),"→","4"),ROW(INDIRECT("1:"&amp;LEN($Q52))),1))</f>
        <v>#REF!</v>
      </c>
      <c r="Y52" s="14">
        <v>2</v>
      </c>
      <c r="Z52" s="14">
        <v>0</v>
      </c>
      <c r="AA52" s="14">
        <v>1</v>
      </c>
    </row>
    <row r="53" spans="1:27" ht="49.5" x14ac:dyDescent="0.15">
      <c r="A53" s="15">
        <v>11050</v>
      </c>
      <c r="B53" s="15" t="s">
        <v>223</v>
      </c>
      <c r="C53" s="14">
        <v>1</v>
      </c>
      <c r="E53" s="16" t="s">
        <v>224</v>
      </c>
      <c r="G53" s="16" t="s">
        <v>225</v>
      </c>
      <c r="H53" s="14"/>
      <c r="I53" s="14"/>
      <c r="J53" s="16" t="s">
        <v>48</v>
      </c>
      <c r="L53" s="16" t="s">
        <v>54</v>
      </c>
      <c r="Q53" s="14" t="s">
        <v>226</v>
      </c>
      <c r="R53" s="14" t="str" cm="1">
        <f t="array" aca="1" ref="R53" ca="1">_xlfn.TEXTJOIN(",",TRUE,MID(SUBSTITUTE(SUBSTITUTE(SUBSTITUTE(SUBSTITUTE($Q53,"↑","1"),"↓","2"),"←","3"),"→","4"),ROW(INDIRECT("1:"&amp;LEN($Q53))),1))</f>
        <v>4,2,2,3</v>
      </c>
      <c r="S53" s="14">
        <v>1</v>
      </c>
      <c r="T53" s="14" t="s">
        <v>51</v>
      </c>
      <c r="U53" s="14" t="s">
        <v>51</v>
      </c>
      <c r="V53" s="14">
        <v>20401</v>
      </c>
      <c r="W53" s="14" t="s">
        <v>227</v>
      </c>
      <c r="Y53" s="14">
        <v>2</v>
      </c>
      <c r="Z53" s="14">
        <v>0</v>
      </c>
      <c r="AA53" s="14">
        <v>1</v>
      </c>
    </row>
    <row r="54" spans="1:27" x14ac:dyDescent="0.15">
      <c r="A54" s="15">
        <v>11051</v>
      </c>
      <c r="B54" s="15" t="s">
        <v>228</v>
      </c>
      <c r="C54" s="14">
        <v>1</v>
      </c>
      <c r="G54" s="16" t="s">
        <v>229</v>
      </c>
      <c r="L54" s="16" t="s">
        <v>49</v>
      </c>
      <c r="O54" s="14">
        <v>1</v>
      </c>
      <c r="P54" s="14">
        <v>1</v>
      </c>
      <c r="Q54" s="14" t="s">
        <v>230</v>
      </c>
      <c r="R54" s="14" t="str" cm="1">
        <f t="array" aca="1" ref="R54" ca="1">_xlfn.TEXTJOIN(",",TRUE,MID(SUBSTITUTE(SUBSTITUTE(SUBSTITUTE(SUBSTITUTE($Q54,"↑","1"),"↓","2"),"←","3"),"→","4"),ROW(INDIRECT("1:"&amp;LEN($Q54))),1))</f>
        <v>2</v>
      </c>
      <c r="S54" s="14">
        <v>1</v>
      </c>
      <c r="V54" s="14">
        <v>20204</v>
      </c>
      <c r="W54" s="14" t="s">
        <v>231</v>
      </c>
      <c r="Y54" s="14">
        <v>2</v>
      </c>
      <c r="Z54" s="14">
        <v>0</v>
      </c>
      <c r="AA54" s="14">
        <v>1</v>
      </c>
    </row>
    <row r="55" spans="1:27" x14ac:dyDescent="0.15">
      <c r="A55" s="15">
        <v>11052</v>
      </c>
      <c r="B55" s="15" t="s">
        <v>232</v>
      </c>
      <c r="H55" s="16" t="s">
        <v>233</v>
      </c>
      <c r="I55" s="14"/>
      <c r="J55" s="14"/>
      <c r="L55" s="16" t="s">
        <v>234</v>
      </c>
      <c r="Q55" s="14" t="s">
        <v>235</v>
      </c>
      <c r="R55" s="14" t="str" cm="1">
        <f t="array" aca="1" ref="R55" ca="1">_xlfn.TEXTJOIN(",",TRUE,MID(SUBSTITUTE(SUBSTITUTE(SUBSTITUTE(SUBSTITUTE($Q55,"↑","1"),"↓","2"),"←","3"),"→","4"),ROW(INDIRECT("1:"&amp;LEN($Q55))),1))</f>
        <v>3,2,2</v>
      </c>
      <c r="S55" s="14">
        <v>2</v>
      </c>
      <c r="V55" s="14">
        <v>20204</v>
      </c>
      <c r="W55" s="14" t="s">
        <v>231</v>
      </c>
      <c r="Y55" s="14">
        <v>1</v>
      </c>
      <c r="Z55" s="14">
        <v>1</v>
      </c>
      <c r="AA55" s="14">
        <v>1</v>
      </c>
    </row>
    <row r="56" spans="1:27" x14ac:dyDescent="0.15">
      <c r="A56" s="15">
        <v>11053</v>
      </c>
      <c r="B56" s="14" t="s">
        <v>236</v>
      </c>
      <c r="C56" s="14">
        <v>1</v>
      </c>
      <c r="E56" s="14"/>
      <c r="F56" s="14"/>
      <c r="G56" s="14"/>
      <c r="H56" s="14" t="s">
        <v>237</v>
      </c>
      <c r="I56" s="14"/>
      <c r="J56" s="14"/>
      <c r="K56" s="14"/>
      <c r="L56" s="14" t="s">
        <v>238</v>
      </c>
      <c r="M56" s="14"/>
      <c r="N56" s="14" t="s">
        <v>239</v>
      </c>
      <c r="Q56" s="14" t="s">
        <v>50</v>
      </c>
      <c r="R56" s="14" t="str" cm="1">
        <f t="array" aca="1" ref="R56" ca="1">_xlfn.TEXTJOIN(",",TRUE,MID(SUBSTITUTE(SUBSTITUTE(SUBSTITUTE(SUBSTITUTE($Q56,"↑","1"),"↓","2"),"←","3"),"→","4"),ROW(INDIRECT("1:"&amp;LEN($Q56))),1))</f>
        <v>2,2</v>
      </c>
      <c r="S56" s="14">
        <v>1</v>
      </c>
      <c r="T56" s="14">
        <v>5</v>
      </c>
      <c r="U56" s="14" t="s">
        <v>51</v>
      </c>
      <c r="V56" s="14">
        <v>20205</v>
      </c>
      <c r="W56" s="14" t="s">
        <v>180</v>
      </c>
      <c r="Y56" s="14">
        <v>2</v>
      </c>
      <c r="Z56" s="14">
        <v>0</v>
      </c>
      <c r="AA56" s="14">
        <v>1</v>
      </c>
    </row>
    <row r="57" spans="1:27" x14ac:dyDescent="0.15">
      <c r="A57" s="15">
        <v>11054</v>
      </c>
      <c r="C57" s="14">
        <v>1</v>
      </c>
      <c r="H57" s="14" t="s">
        <v>240</v>
      </c>
      <c r="I57" s="14"/>
      <c r="J57" s="14"/>
      <c r="Q57" s="14" t="s">
        <v>92</v>
      </c>
      <c r="R57" s="14" t="str" cm="1">
        <f t="array" aca="1" ref="R57" ca="1">_xlfn.TEXTJOIN(",",TRUE,MID(SUBSTITUTE(SUBSTITUTE(SUBSTITUTE(SUBSTITUTE($Q57,"↑","1"),"↓","2"),"←","3"),"→","4"),ROW(INDIRECT("1:"&amp;LEN($Q57))),1))</f>
        <v>1,1</v>
      </c>
      <c r="S57" s="14">
        <v>1</v>
      </c>
      <c r="T57" s="14" t="s">
        <v>51</v>
      </c>
      <c r="U57" s="14" t="s">
        <v>51</v>
      </c>
      <c r="Y57" s="14">
        <v>2</v>
      </c>
      <c r="Z57" s="14">
        <v>0</v>
      </c>
      <c r="AA57" s="14">
        <v>1</v>
      </c>
    </row>
    <row r="58" spans="1:27" x14ac:dyDescent="0.15">
      <c r="A58" s="15">
        <v>11055</v>
      </c>
      <c r="C58" s="14">
        <v>1</v>
      </c>
      <c r="G58" s="16" t="s">
        <v>229</v>
      </c>
      <c r="H58" s="14"/>
      <c r="I58" s="14"/>
      <c r="J58" s="14" t="s">
        <v>241</v>
      </c>
      <c r="Q58" s="14" t="s">
        <v>60</v>
      </c>
      <c r="R58" s="14" t="str" cm="1">
        <f t="array" aca="1" ref="R58" ca="1">_xlfn.TEXTJOIN(",",TRUE,MID(SUBSTITUTE(SUBSTITUTE(SUBSTITUTE(SUBSTITUTE($Q58,"↑","1"),"↓","2"),"←","3"),"→","4"),ROW(INDIRECT("1:"&amp;LEN($Q58))),1))</f>
        <v>2,3</v>
      </c>
      <c r="S58" s="14">
        <v>1</v>
      </c>
      <c r="T58" s="14" t="s">
        <v>51</v>
      </c>
      <c r="U58" s="14" t="s">
        <v>51</v>
      </c>
      <c r="Y58" s="14">
        <v>2</v>
      </c>
      <c r="Z58" s="14">
        <v>0</v>
      </c>
      <c r="AA58" s="14">
        <v>1</v>
      </c>
    </row>
    <row r="59" spans="1:27" ht="33" x14ac:dyDescent="0.15">
      <c r="A59" s="15">
        <v>11056</v>
      </c>
      <c r="C59" s="14">
        <v>1</v>
      </c>
      <c r="G59" s="16" t="s">
        <v>242</v>
      </c>
      <c r="H59" s="14" t="s">
        <v>243</v>
      </c>
      <c r="I59" s="14"/>
      <c r="J59" s="14" t="s">
        <v>243</v>
      </c>
      <c r="L59" s="14" t="s">
        <v>244</v>
      </c>
      <c r="P59" s="14">
        <v>3</v>
      </c>
      <c r="Q59" s="14" t="s">
        <v>56</v>
      </c>
      <c r="R59" s="14" t="str" cm="1">
        <f t="array" aca="1" ref="R59" ca="1">_xlfn.TEXTJOIN(",",TRUE,MID(SUBSTITUTE(SUBSTITUTE(SUBSTITUTE(SUBSTITUTE($Q59,"↑","1"),"↓","2"),"←","3"),"→","4"),ROW(INDIRECT("1:"&amp;LEN($Q59))),1))</f>
        <v>3,3</v>
      </c>
      <c r="S59" s="14">
        <v>1</v>
      </c>
      <c r="T59" s="14" t="s">
        <v>51</v>
      </c>
      <c r="U59" s="14" t="s">
        <v>51</v>
      </c>
      <c r="V59" s="14">
        <v>20604</v>
      </c>
      <c r="W59" s="14" t="s">
        <v>245</v>
      </c>
      <c r="Y59" s="14">
        <v>2</v>
      </c>
      <c r="Z59" s="14">
        <v>0</v>
      </c>
      <c r="AA59" s="14">
        <v>1</v>
      </c>
    </row>
    <row r="60" spans="1:27" ht="33" x14ac:dyDescent="0.15">
      <c r="A60" s="15">
        <v>11057</v>
      </c>
      <c r="B60" s="15" t="s">
        <v>246</v>
      </c>
      <c r="C60" s="14">
        <v>1</v>
      </c>
      <c r="H60" s="14"/>
      <c r="I60" s="14"/>
      <c r="J60" s="14"/>
      <c r="N60" s="16" t="s">
        <v>247</v>
      </c>
      <c r="P60" s="14">
        <v>999</v>
      </c>
      <c r="V60" s="14">
        <v>20001</v>
      </c>
      <c r="W60" s="14" t="s">
        <v>135</v>
      </c>
      <c r="Y60" s="14">
        <v>2</v>
      </c>
      <c r="Z60" s="14">
        <v>0</v>
      </c>
      <c r="AA60" s="14">
        <v>0</v>
      </c>
    </row>
    <row r="61" spans="1:27" x14ac:dyDescent="0.15">
      <c r="A61" s="15">
        <v>11058</v>
      </c>
      <c r="C61" s="14">
        <v>1</v>
      </c>
      <c r="G61" s="16" t="s">
        <v>248</v>
      </c>
      <c r="H61" s="14" t="s">
        <v>249</v>
      </c>
      <c r="I61" s="14"/>
      <c r="J61" s="14"/>
      <c r="L61" s="16" t="s">
        <v>250</v>
      </c>
      <c r="O61" s="14">
        <v>7</v>
      </c>
      <c r="S61" s="14">
        <v>1</v>
      </c>
      <c r="T61" s="14" t="s">
        <v>51</v>
      </c>
      <c r="U61" s="14">
        <v>35</v>
      </c>
      <c r="V61" s="14">
        <v>20604</v>
      </c>
      <c r="W61" s="14" t="s">
        <v>245</v>
      </c>
      <c r="Y61" s="14">
        <v>2</v>
      </c>
      <c r="Z61" s="14">
        <v>0</v>
      </c>
      <c r="AA61" s="14">
        <v>0</v>
      </c>
    </row>
    <row r="62" spans="1:27" ht="33" x14ac:dyDescent="0.15">
      <c r="C62" s="14">
        <v>1</v>
      </c>
      <c r="G62" s="16" t="s">
        <v>251</v>
      </c>
      <c r="H62" s="14"/>
      <c r="I62" s="14"/>
      <c r="J62" s="14"/>
      <c r="S62" s="14">
        <v>1</v>
      </c>
      <c r="T62" s="14" t="s">
        <v>51</v>
      </c>
      <c r="U62" s="14" t="s">
        <v>51</v>
      </c>
      <c r="Y62" s="14">
        <v>2</v>
      </c>
      <c r="Z62" s="14">
        <v>0</v>
      </c>
      <c r="AA62" s="14">
        <v>1</v>
      </c>
    </row>
    <row r="63" spans="1:27" x14ac:dyDescent="0.15">
      <c r="H63" s="14"/>
      <c r="I63" s="14"/>
      <c r="J63" s="14"/>
      <c r="R63" s="14" t="e" cm="1">
        <f t="array" aca="1" ref="R63" ca="1">_xlfn.TEXTJOIN(",",TRUE,MID(SUBSTITUTE(SUBSTITUTE(SUBSTITUTE(SUBSTITUTE($Q63,"↑","1"),"↓","2"),"←","3"),"→","4"),ROW(INDIRECT("1:"&amp;LEN($Q63))),1))</f>
        <v>#REF!</v>
      </c>
    </row>
    <row r="64" spans="1:27" x14ac:dyDescent="0.15">
      <c r="A64" s="15">
        <v>12001</v>
      </c>
      <c r="B64" s="20" t="s">
        <v>252</v>
      </c>
      <c r="C64" s="14">
        <v>2</v>
      </c>
      <c r="H64" s="14" t="s">
        <v>253</v>
      </c>
      <c r="I64" s="14"/>
      <c r="J64" s="14"/>
      <c r="L64" s="16" t="s">
        <v>254</v>
      </c>
      <c r="O64" s="14">
        <v>1</v>
      </c>
      <c r="P64" s="14">
        <v>2</v>
      </c>
      <c r="Q64" s="14" t="s">
        <v>255</v>
      </c>
      <c r="R64" s="14" t="str" cm="1">
        <f t="array" aca="1" ref="R64" ca="1">_xlfn.TEXTJOIN(",",TRUE,MID(SUBSTITUTE(SUBSTITUTE(SUBSTITUTE(SUBSTITUTE($Q64,"↑","1"),"↓","2"),"←","3"),"→","4"),ROW(INDIRECT("1:"&amp;LEN($Q64))),1))</f>
        <v>4,1</v>
      </c>
      <c r="S64" s="14">
        <v>1</v>
      </c>
      <c r="T64" s="14" t="s">
        <v>51</v>
      </c>
      <c r="U64" s="14">
        <v>10</v>
      </c>
      <c r="V64" s="14">
        <v>20101</v>
      </c>
      <c r="W64" s="14" t="s">
        <v>71</v>
      </c>
      <c r="Y64" s="14">
        <v>2</v>
      </c>
      <c r="Z64" s="14">
        <v>1</v>
      </c>
      <c r="AA64" s="14">
        <v>1</v>
      </c>
    </row>
    <row r="65" spans="1:27" x14ac:dyDescent="0.15">
      <c r="A65" s="15">
        <v>12002</v>
      </c>
      <c r="B65" s="20" t="s">
        <v>256</v>
      </c>
      <c r="C65" s="14">
        <v>2</v>
      </c>
      <c r="H65" s="14" t="s">
        <v>257</v>
      </c>
      <c r="I65" s="14"/>
      <c r="J65" s="14"/>
      <c r="L65" s="16" t="s">
        <v>258</v>
      </c>
      <c r="O65" s="14">
        <v>1</v>
      </c>
      <c r="P65" s="14">
        <v>4</v>
      </c>
      <c r="Q65" s="14" t="s">
        <v>259</v>
      </c>
      <c r="R65" s="14" t="str" cm="1">
        <f t="array" aca="1" ref="R65" ca="1">_xlfn.TEXTJOIN(",",TRUE,MID(SUBSTITUTE(SUBSTITUTE(SUBSTITUTE(SUBSTITUTE($Q65,"↑","1"),"↓","2"),"←","3"),"→","4"),ROW(INDIRECT("1:"&amp;LEN($Q65))),1))</f>
        <v>4,1,2</v>
      </c>
      <c r="S65" s="14">
        <v>1</v>
      </c>
      <c r="T65" s="14" t="s">
        <v>51</v>
      </c>
      <c r="U65" s="14">
        <v>30</v>
      </c>
      <c r="V65" s="14">
        <v>20101</v>
      </c>
      <c r="W65" s="14" t="s">
        <v>71</v>
      </c>
      <c r="Y65" s="14">
        <v>2</v>
      </c>
      <c r="Z65" s="14">
        <v>1</v>
      </c>
      <c r="AA65" s="14">
        <v>1</v>
      </c>
    </row>
    <row r="66" spans="1:27" x14ac:dyDescent="0.15">
      <c r="A66" s="15">
        <v>12003</v>
      </c>
      <c r="B66" s="20" t="s">
        <v>260</v>
      </c>
      <c r="C66" s="14">
        <v>2</v>
      </c>
      <c r="H66" s="14" t="s">
        <v>261</v>
      </c>
      <c r="I66" s="14"/>
      <c r="J66" s="14"/>
      <c r="L66" s="16" t="s">
        <v>262</v>
      </c>
      <c r="O66" s="14">
        <v>1</v>
      </c>
      <c r="P66" s="14">
        <v>6</v>
      </c>
      <c r="Q66" s="14" t="s">
        <v>263</v>
      </c>
      <c r="R66" s="14" t="str" cm="1">
        <f t="array" aca="1" ref="R66" ca="1">_xlfn.TEXTJOIN(",",TRUE,MID(SUBSTITUTE(SUBSTITUTE(SUBSTITUTE(SUBSTITUTE($Q66,"↑","1"),"↓","2"),"←","3"),"→","4"),ROW(INDIRECT("1:"&amp;LEN($Q66))),1))</f>
        <v>4,1,2,2</v>
      </c>
      <c r="S66" s="14">
        <v>1</v>
      </c>
      <c r="T66" s="14" t="s">
        <v>51</v>
      </c>
      <c r="U66" s="14">
        <v>90</v>
      </c>
      <c r="V66" s="14">
        <v>20101</v>
      </c>
      <c r="W66" s="14" t="s">
        <v>71</v>
      </c>
      <c r="Y66" s="14">
        <v>2</v>
      </c>
      <c r="Z66" s="14">
        <v>1</v>
      </c>
      <c r="AA66" s="14">
        <v>1</v>
      </c>
    </row>
    <row r="67" spans="1:27" x14ac:dyDescent="0.15">
      <c r="A67" s="15">
        <v>12004</v>
      </c>
      <c r="B67" s="20" t="s">
        <v>264</v>
      </c>
      <c r="C67" s="14">
        <v>2</v>
      </c>
      <c r="E67" s="16" t="s">
        <v>265</v>
      </c>
      <c r="H67" s="14" t="s">
        <v>253</v>
      </c>
      <c r="I67" s="14"/>
      <c r="J67" s="14"/>
      <c r="L67" s="16" t="s">
        <v>266</v>
      </c>
      <c r="O67" s="14">
        <v>1</v>
      </c>
      <c r="P67" s="14">
        <v>6</v>
      </c>
      <c r="Q67" s="14" t="s">
        <v>267</v>
      </c>
      <c r="R67" s="14" t="str" cm="1">
        <f t="array" aca="1" ref="R67" ca="1">_xlfn.TEXTJOIN(",",TRUE,MID(SUBSTITUTE(SUBSTITUTE(SUBSTITUTE(SUBSTITUTE($Q67,"↑","1"),"↓","2"),"←","3"),"→","4"),ROW(INDIRECT("1:"&amp;LEN($Q67))),1))</f>
        <v>1,3</v>
      </c>
      <c r="S67" s="14">
        <v>1</v>
      </c>
      <c r="T67" s="14" t="s">
        <v>51</v>
      </c>
      <c r="U67" s="14">
        <v>9</v>
      </c>
      <c r="V67" s="14">
        <v>20101</v>
      </c>
      <c r="W67" s="14" t="s">
        <v>71</v>
      </c>
      <c r="Y67" s="14">
        <v>1</v>
      </c>
      <c r="Z67" s="14">
        <v>1</v>
      </c>
      <c r="AA67" s="14">
        <v>1</v>
      </c>
    </row>
    <row r="68" spans="1:27" x14ac:dyDescent="0.15">
      <c r="A68" s="15">
        <v>12005</v>
      </c>
      <c r="B68" s="20" t="s">
        <v>268</v>
      </c>
      <c r="C68" s="14">
        <v>2</v>
      </c>
      <c r="E68" s="16" t="s">
        <v>269</v>
      </c>
      <c r="H68" s="14" t="s">
        <v>270</v>
      </c>
      <c r="I68" s="14"/>
      <c r="J68" s="14"/>
      <c r="L68" s="16" t="s">
        <v>271</v>
      </c>
      <c r="O68" s="14">
        <v>1</v>
      </c>
      <c r="P68" s="14">
        <v>5</v>
      </c>
      <c r="Q68" s="14" t="s">
        <v>272</v>
      </c>
      <c r="R68" s="14" t="str" cm="1">
        <f t="array" aca="1" ref="R68" ca="1">_xlfn.TEXTJOIN(",",TRUE,MID(SUBSTITUTE(SUBSTITUTE(SUBSTITUTE(SUBSTITUTE($Q68,"↑","1"),"↓","2"),"←","3"),"→","4"),ROW(INDIRECT("1:"&amp;LEN($Q68))),1))</f>
        <v>1,3,4</v>
      </c>
      <c r="S68" s="14">
        <v>1</v>
      </c>
      <c r="T68" s="14" t="s">
        <v>51</v>
      </c>
      <c r="U68" s="14">
        <v>20</v>
      </c>
      <c r="V68" s="14">
        <v>20101</v>
      </c>
      <c r="W68" s="14" t="s">
        <v>71</v>
      </c>
      <c r="Y68" s="14">
        <v>1</v>
      </c>
      <c r="Z68" s="14">
        <v>1</v>
      </c>
      <c r="AA68" s="14">
        <v>1</v>
      </c>
    </row>
    <row r="69" spans="1:27" x14ac:dyDescent="0.15">
      <c r="A69" s="15">
        <v>12006</v>
      </c>
      <c r="B69" s="20" t="s">
        <v>273</v>
      </c>
      <c r="C69" s="14">
        <v>2</v>
      </c>
      <c r="E69" s="16" t="s">
        <v>274</v>
      </c>
      <c r="H69" s="14" t="s">
        <v>275</v>
      </c>
      <c r="I69" s="14"/>
      <c r="J69" s="14"/>
      <c r="L69" s="16" t="s">
        <v>276</v>
      </c>
      <c r="O69" s="14">
        <v>1</v>
      </c>
      <c r="P69" s="14">
        <v>4</v>
      </c>
      <c r="Q69" s="14" t="s">
        <v>277</v>
      </c>
      <c r="R69" s="14" t="str" cm="1">
        <f t="array" aca="1" ref="R69" ca="1">_xlfn.TEXTJOIN(",",TRUE,MID(SUBSTITUTE(SUBSTITUTE(SUBSTITUTE(SUBSTITUTE($Q69,"↑","1"),"↓","2"),"←","3"),"→","4"),ROW(INDIRECT("1:"&amp;LEN($Q69))),1))</f>
        <v>1,3,4,4</v>
      </c>
      <c r="S69" s="14">
        <v>1</v>
      </c>
      <c r="T69" s="14" t="s">
        <v>51</v>
      </c>
      <c r="U69" s="14">
        <v>49</v>
      </c>
      <c r="V69" s="14">
        <v>20101</v>
      </c>
      <c r="W69" s="14" t="s">
        <v>71</v>
      </c>
      <c r="Y69" s="14">
        <v>1</v>
      </c>
      <c r="Z69" s="14">
        <v>1</v>
      </c>
      <c r="AA69" s="14">
        <v>1</v>
      </c>
    </row>
    <row r="70" spans="1:27" x14ac:dyDescent="0.15">
      <c r="A70" s="15">
        <v>12007</v>
      </c>
      <c r="B70" s="20" t="s">
        <v>278</v>
      </c>
      <c r="C70" s="14">
        <v>2</v>
      </c>
      <c r="H70" s="14" t="s">
        <v>279</v>
      </c>
      <c r="I70" s="14"/>
      <c r="J70" s="14"/>
      <c r="L70" s="16" t="s">
        <v>254</v>
      </c>
      <c r="O70" s="14">
        <v>3</v>
      </c>
      <c r="P70" s="14">
        <v>8</v>
      </c>
      <c r="Q70" s="14" t="s">
        <v>280</v>
      </c>
      <c r="R70" s="14" t="str" cm="1">
        <f t="array" aca="1" ref="R70" ca="1">_xlfn.TEXTJOIN(",",TRUE,MID(SUBSTITUTE(SUBSTITUTE(SUBSTITUTE(SUBSTITUTE($Q70,"↑","1"),"↓","2"),"←","3"),"→","4"),ROW(INDIRECT("1:"&amp;LEN($Q70))),1))</f>
        <v>2,4,3</v>
      </c>
      <c r="S70" s="14">
        <v>1</v>
      </c>
      <c r="T70" s="14" t="s">
        <v>51</v>
      </c>
      <c r="U70" s="14">
        <v>25</v>
      </c>
      <c r="V70" s="14">
        <v>20301</v>
      </c>
      <c r="W70" s="14" t="s">
        <v>57</v>
      </c>
      <c r="Y70" s="14">
        <v>2</v>
      </c>
      <c r="Z70" s="14">
        <v>1</v>
      </c>
      <c r="AA70" s="14">
        <v>1</v>
      </c>
    </row>
    <row r="71" spans="1:27" x14ac:dyDescent="0.15">
      <c r="A71" s="15">
        <v>12008</v>
      </c>
      <c r="B71" s="20" t="s">
        <v>281</v>
      </c>
      <c r="C71" s="14">
        <v>2</v>
      </c>
      <c r="E71" s="16" t="s">
        <v>282</v>
      </c>
      <c r="H71" s="16" t="s">
        <v>275</v>
      </c>
      <c r="J71" s="16" t="s">
        <v>283</v>
      </c>
      <c r="L71" s="16" t="s">
        <v>284</v>
      </c>
      <c r="O71" s="14">
        <v>6</v>
      </c>
      <c r="P71" s="14">
        <v>10</v>
      </c>
      <c r="Q71" s="14" t="s">
        <v>285</v>
      </c>
      <c r="R71" s="14" t="str" cm="1">
        <f t="array" aca="1" ref="R71" ca="1">_xlfn.TEXTJOIN(",",TRUE,MID(SUBSTITUTE(SUBSTITUTE(SUBSTITUTE(SUBSTITUTE($Q71,"↑","1"),"↓","2"),"←","3"),"→","4"),ROW(INDIRECT("1:"&amp;LEN($Q71))),1))</f>
        <v>1,1,2,4</v>
      </c>
      <c r="S71" s="14">
        <v>1</v>
      </c>
      <c r="T71" s="14" t="s">
        <v>51</v>
      </c>
      <c r="U71" s="14">
        <v>25</v>
      </c>
      <c r="V71" s="14">
        <v>20301</v>
      </c>
      <c r="W71" s="14" t="s">
        <v>57</v>
      </c>
      <c r="Y71" s="14">
        <v>1</v>
      </c>
      <c r="Z71" s="14">
        <v>1</v>
      </c>
      <c r="AA71" s="14">
        <v>1</v>
      </c>
    </row>
    <row r="72" spans="1:27" x14ac:dyDescent="0.15">
      <c r="A72" s="15">
        <v>12009</v>
      </c>
      <c r="B72" s="20" t="s">
        <v>286</v>
      </c>
      <c r="C72" s="14">
        <v>2</v>
      </c>
      <c r="G72" s="16" t="s">
        <v>1075</v>
      </c>
      <c r="H72" s="16" t="s">
        <v>287</v>
      </c>
      <c r="L72" s="16" t="s">
        <v>288</v>
      </c>
      <c r="O72" s="14">
        <v>1</v>
      </c>
      <c r="P72" s="14">
        <v>7</v>
      </c>
      <c r="Q72" s="14" t="s">
        <v>289</v>
      </c>
      <c r="R72" s="14" t="str" cm="1">
        <f t="array" aca="1" ref="R72" ca="1">_xlfn.TEXTJOIN(",",TRUE,MID(SUBSTITUTE(SUBSTITUTE(SUBSTITUTE(SUBSTITUTE($Q72,"↑","1"),"↓","2"),"←","3"),"→","4"),ROW(INDIRECT("1:"&amp;LEN($Q72))),1))</f>
        <v>4,4,4</v>
      </c>
      <c r="S72" s="14">
        <v>1</v>
      </c>
      <c r="T72" s="14" t="s">
        <v>51</v>
      </c>
      <c r="U72" s="14">
        <v>30</v>
      </c>
      <c r="V72" s="14">
        <v>20401</v>
      </c>
      <c r="W72" s="14" t="s">
        <v>227</v>
      </c>
      <c r="Y72" s="14">
        <v>1</v>
      </c>
      <c r="Z72" s="14">
        <v>1</v>
      </c>
      <c r="AA72" s="14">
        <v>1</v>
      </c>
    </row>
    <row r="73" spans="1:27" x14ac:dyDescent="0.15">
      <c r="A73" s="15">
        <v>12010</v>
      </c>
      <c r="B73" s="15" t="s">
        <v>290</v>
      </c>
      <c r="C73" s="14">
        <v>2</v>
      </c>
      <c r="G73" s="16" t="s">
        <v>291</v>
      </c>
      <c r="Q73" s="14" t="s">
        <v>292</v>
      </c>
      <c r="R73" s="14" t="str" cm="1">
        <f t="array" aca="1" ref="R73" ca="1">_xlfn.TEXTJOIN(",",TRUE,MID(SUBSTITUTE(SUBSTITUTE(SUBSTITUTE(SUBSTITUTE($Q73,"↑","1"),"↓","2"),"←","3"),"→","4"),ROW(INDIRECT("1:"&amp;LEN($Q73))),1))</f>
        <v>1,2,3,4</v>
      </c>
      <c r="S73" s="14">
        <v>1</v>
      </c>
      <c r="T73" s="14" t="s">
        <v>51</v>
      </c>
      <c r="U73" s="14">
        <v>50</v>
      </c>
      <c r="V73" s="14">
        <v>20701</v>
      </c>
      <c r="W73" s="14" t="s">
        <v>293</v>
      </c>
      <c r="Y73" s="14">
        <v>2</v>
      </c>
      <c r="Z73" s="14">
        <v>1</v>
      </c>
      <c r="AA73" s="14">
        <v>1</v>
      </c>
    </row>
    <row r="74" spans="1:27" ht="49.5" x14ac:dyDescent="0.15">
      <c r="A74" s="15">
        <v>12011</v>
      </c>
      <c r="B74" s="15" t="s">
        <v>294</v>
      </c>
      <c r="C74" s="14">
        <v>2</v>
      </c>
      <c r="H74" s="16" t="s">
        <v>253</v>
      </c>
      <c r="J74" s="16" t="s">
        <v>295</v>
      </c>
      <c r="R74" s="14" t="e" cm="1">
        <f t="array" aca="1" ref="R74" ca="1">_xlfn.TEXTJOIN(",",TRUE,MID(SUBSTITUTE(SUBSTITUTE(SUBSTITUTE(SUBSTITUTE($Q74,"↑","1"),"↓","2"),"←","3"),"→","4"),ROW(INDIRECT("1:"&amp;LEN($Q74))),1))</f>
        <v>#REF!</v>
      </c>
      <c r="S74" s="14">
        <v>1</v>
      </c>
      <c r="V74" s="14">
        <v>20502</v>
      </c>
      <c r="W74" s="14" t="s">
        <v>296</v>
      </c>
      <c r="Y74" s="14">
        <v>1</v>
      </c>
      <c r="Z74" s="14">
        <v>1</v>
      </c>
      <c r="AA74" s="14">
        <v>1</v>
      </c>
    </row>
    <row r="75" spans="1:27" ht="49.5" x14ac:dyDescent="0.15">
      <c r="A75" s="15">
        <v>12012</v>
      </c>
      <c r="B75" s="15" t="s">
        <v>297</v>
      </c>
      <c r="C75" s="14">
        <v>2</v>
      </c>
      <c r="H75" s="16" t="s">
        <v>253</v>
      </c>
      <c r="J75" s="16" t="s">
        <v>298</v>
      </c>
      <c r="R75" s="14" t="e" cm="1">
        <f t="array" aca="1" ref="R75" ca="1">_xlfn.TEXTJOIN(",",TRUE,MID(SUBSTITUTE(SUBSTITUTE(SUBSTITUTE(SUBSTITUTE($Q75,"↑","1"),"↓","2"),"←","3"),"→","4"),ROW(INDIRECT("1:"&amp;LEN($Q75))),1))</f>
        <v>#REF!</v>
      </c>
      <c r="S75" s="14">
        <v>1</v>
      </c>
      <c r="V75" s="14">
        <v>20502</v>
      </c>
      <c r="W75" s="14" t="s">
        <v>296</v>
      </c>
      <c r="Y75" s="14">
        <v>1</v>
      </c>
      <c r="Z75" s="14">
        <v>1</v>
      </c>
      <c r="AA75" s="14">
        <v>1</v>
      </c>
    </row>
    <row r="76" spans="1:27" ht="33" x14ac:dyDescent="0.15">
      <c r="A76" s="15">
        <v>12013</v>
      </c>
      <c r="B76" s="20" t="s">
        <v>299</v>
      </c>
      <c r="C76" s="14">
        <v>2</v>
      </c>
      <c r="G76" s="16" t="s">
        <v>300</v>
      </c>
      <c r="H76" s="16" t="s">
        <v>301</v>
      </c>
      <c r="L76" s="16" t="s">
        <v>302</v>
      </c>
      <c r="P76" s="14">
        <v>4</v>
      </c>
      <c r="Q76" s="14" t="s">
        <v>303</v>
      </c>
      <c r="R76" s="14" t="str" cm="1">
        <f t="array" aca="1" ref="R76" ca="1">_xlfn.TEXTJOIN(",",TRUE,MID(SUBSTITUTE(SUBSTITUTE(SUBSTITUTE(SUBSTITUTE($Q76,"↑","1"),"↓","2"),"←","3"),"→","4"),ROW(INDIRECT("1:"&amp;LEN($Q76))),1))</f>
        <v>3,1,1</v>
      </c>
      <c r="S76" s="14">
        <v>1</v>
      </c>
      <c r="T76" s="14">
        <v>25</v>
      </c>
      <c r="U76" s="14" t="s">
        <v>51</v>
      </c>
      <c r="V76" s="14">
        <v>20502</v>
      </c>
      <c r="W76" s="14" t="s">
        <v>296</v>
      </c>
      <c r="Y76" s="14">
        <v>2</v>
      </c>
      <c r="Z76" s="14">
        <v>1</v>
      </c>
      <c r="AA76" s="14">
        <v>1</v>
      </c>
    </row>
    <row r="77" spans="1:27" ht="33" x14ac:dyDescent="0.15">
      <c r="A77" s="15">
        <v>12014</v>
      </c>
      <c r="B77" s="20" t="s">
        <v>304</v>
      </c>
      <c r="C77" s="14">
        <v>2</v>
      </c>
      <c r="G77" s="16" t="s">
        <v>305</v>
      </c>
      <c r="H77" s="16" t="s">
        <v>306</v>
      </c>
      <c r="L77" s="16" t="s">
        <v>307</v>
      </c>
      <c r="P77" s="14">
        <v>4</v>
      </c>
      <c r="Q77" s="14" t="s">
        <v>308</v>
      </c>
      <c r="R77" s="14" t="str" cm="1">
        <f t="array" aca="1" ref="R77" ca="1">_xlfn.TEXTJOIN(",",TRUE,MID(SUBSTITUTE(SUBSTITUTE(SUBSTITUTE(SUBSTITUTE($Q77,"↑","1"),"↓","2"),"←","3"),"→","4"),ROW(INDIRECT("1:"&amp;LEN($Q77))),1))</f>
        <v>4,2,2</v>
      </c>
      <c r="S77" s="14">
        <v>1</v>
      </c>
      <c r="T77" s="14" t="s">
        <v>51</v>
      </c>
      <c r="U77" s="14">
        <v>25</v>
      </c>
      <c r="V77" s="14">
        <v>20502</v>
      </c>
      <c r="W77" s="14" t="s">
        <v>296</v>
      </c>
      <c r="Y77" s="14">
        <v>2</v>
      </c>
      <c r="Z77" s="14">
        <v>1</v>
      </c>
      <c r="AA77" s="14">
        <v>1</v>
      </c>
    </row>
    <row r="78" spans="1:27" ht="33" x14ac:dyDescent="0.15">
      <c r="A78" s="15">
        <v>12015</v>
      </c>
      <c r="B78" s="20" t="s">
        <v>309</v>
      </c>
      <c r="C78" s="14">
        <v>2</v>
      </c>
      <c r="G78" s="16" t="s">
        <v>310</v>
      </c>
      <c r="H78" s="16" t="s">
        <v>311</v>
      </c>
      <c r="L78" s="16" t="s">
        <v>312</v>
      </c>
      <c r="P78" s="14">
        <v>4</v>
      </c>
      <c r="Q78" s="14" t="s">
        <v>313</v>
      </c>
      <c r="R78" s="14" t="str" cm="1">
        <f t="array" aca="1" ref="R78" ca="1">_xlfn.TEXTJOIN(",",TRUE,MID(SUBSTITUTE(SUBSTITUTE(SUBSTITUTE(SUBSTITUTE($Q78,"↑","1"),"↓","2"),"←","3"),"→","4"),ROW(INDIRECT("1:"&amp;LEN($Q78))),1))</f>
        <v>3,2,3</v>
      </c>
      <c r="S78" s="14">
        <v>1</v>
      </c>
      <c r="T78" s="14">
        <v>25</v>
      </c>
      <c r="U78" s="14" t="s">
        <v>51</v>
      </c>
      <c r="V78" s="14">
        <v>20502</v>
      </c>
      <c r="W78" s="14" t="s">
        <v>296</v>
      </c>
      <c r="Y78" s="14">
        <v>2</v>
      </c>
      <c r="Z78" s="14">
        <v>1</v>
      </c>
      <c r="AA78" s="14">
        <v>1</v>
      </c>
    </row>
    <row r="79" spans="1:27" ht="33" x14ac:dyDescent="0.15">
      <c r="A79" s="15">
        <v>12016</v>
      </c>
      <c r="B79" s="20" t="s">
        <v>314</v>
      </c>
      <c r="C79" s="14">
        <v>2</v>
      </c>
      <c r="G79" s="16" t="s">
        <v>315</v>
      </c>
      <c r="H79" s="16" t="s">
        <v>316</v>
      </c>
      <c r="L79" s="16" t="s">
        <v>317</v>
      </c>
      <c r="P79" s="14">
        <v>4</v>
      </c>
      <c r="Q79" s="14" t="s">
        <v>318</v>
      </c>
      <c r="R79" s="14" t="str" cm="1">
        <f t="array" aca="1" ref="R79" ca="1">_xlfn.TEXTJOIN(",",TRUE,MID(SUBSTITUTE(SUBSTITUTE(SUBSTITUTE(SUBSTITUTE($Q79,"↑","1"),"↓","2"),"←","3"),"→","4"),ROW(INDIRECT("1:"&amp;LEN($Q79))),1))</f>
        <v>4,1,4</v>
      </c>
      <c r="S79" s="14">
        <v>1</v>
      </c>
      <c r="T79" s="14" t="s">
        <v>51</v>
      </c>
      <c r="U79" s="14">
        <v>25</v>
      </c>
      <c r="V79" s="14">
        <v>20502</v>
      </c>
      <c r="W79" s="14" t="s">
        <v>296</v>
      </c>
      <c r="Y79" s="14">
        <v>2</v>
      </c>
      <c r="Z79" s="14">
        <v>1</v>
      </c>
      <c r="AA79" s="14">
        <v>1</v>
      </c>
    </row>
    <row r="80" spans="1:27" ht="33" x14ac:dyDescent="0.15">
      <c r="A80" s="15">
        <v>12017</v>
      </c>
      <c r="B80" s="20" t="s">
        <v>319</v>
      </c>
      <c r="C80" s="14">
        <v>2</v>
      </c>
      <c r="G80" s="16" t="s">
        <v>320</v>
      </c>
      <c r="H80" s="22" t="s">
        <v>321</v>
      </c>
      <c r="I80" s="22"/>
      <c r="J80" s="22"/>
      <c r="L80" s="16" t="s">
        <v>322</v>
      </c>
      <c r="P80" s="14">
        <v>4</v>
      </c>
      <c r="Q80" s="14" t="s">
        <v>323</v>
      </c>
      <c r="R80" s="14" t="str" cm="1">
        <f t="array" aca="1" ref="R80" ca="1">_xlfn.TEXTJOIN(",",TRUE,MID(SUBSTITUTE(SUBSTITUTE(SUBSTITUTE(SUBSTITUTE($Q80,"↑","1"),"↓","2"),"←","3"),"→","4"),ROW(INDIRECT("1:"&amp;LEN($Q80))),1))</f>
        <v>4,3,3</v>
      </c>
      <c r="S80" s="14">
        <v>1</v>
      </c>
      <c r="T80" s="14" t="s">
        <v>51</v>
      </c>
      <c r="U80" s="14">
        <v>25</v>
      </c>
      <c r="V80" s="14">
        <v>20502</v>
      </c>
      <c r="W80" s="14" t="s">
        <v>296</v>
      </c>
      <c r="Y80" s="14">
        <v>2</v>
      </c>
      <c r="Z80" s="14">
        <v>1</v>
      </c>
      <c r="AA80" s="14">
        <v>1</v>
      </c>
    </row>
    <row r="81" spans="1:27" ht="33" x14ac:dyDescent="0.15">
      <c r="A81" s="15">
        <v>12018</v>
      </c>
      <c r="B81" s="20" t="s">
        <v>324</v>
      </c>
      <c r="C81" s="14">
        <v>2</v>
      </c>
      <c r="G81" s="16" t="s">
        <v>325</v>
      </c>
      <c r="H81" s="16" t="s">
        <v>326</v>
      </c>
      <c r="L81" s="16" t="s">
        <v>327</v>
      </c>
      <c r="P81" s="14">
        <v>4</v>
      </c>
      <c r="Q81" s="14" t="s">
        <v>114</v>
      </c>
      <c r="R81" s="14" t="str" cm="1">
        <f t="array" aca="1" ref="R81" ca="1">_xlfn.TEXTJOIN(",",TRUE,MID(SUBSTITUTE(SUBSTITUTE(SUBSTITUTE(SUBSTITUTE($Q81,"↑","1"),"↓","2"),"←","3"),"→","4"),ROW(INDIRECT("1:"&amp;LEN($Q81))),1))</f>
        <v>3,1,3</v>
      </c>
      <c r="S81" s="14">
        <v>1</v>
      </c>
      <c r="T81" s="14">
        <v>25</v>
      </c>
      <c r="U81" s="14" t="s">
        <v>51</v>
      </c>
      <c r="V81" s="14">
        <v>20502</v>
      </c>
      <c r="W81" s="14" t="s">
        <v>296</v>
      </c>
      <c r="Y81" s="14">
        <v>2</v>
      </c>
      <c r="Z81" s="14">
        <v>1</v>
      </c>
      <c r="AA81" s="14">
        <v>1</v>
      </c>
    </row>
    <row r="82" spans="1:27" ht="33" x14ac:dyDescent="0.15">
      <c r="A82" s="15">
        <v>12019</v>
      </c>
      <c r="B82" s="20" t="s">
        <v>328</v>
      </c>
      <c r="C82" s="14">
        <v>2</v>
      </c>
      <c r="G82" s="16" t="s">
        <v>329</v>
      </c>
      <c r="H82" s="16" t="s">
        <v>330</v>
      </c>
      <c r="L82" s="16" t="s">
        <v>331</v>
      </c>
      <c r="P82" s="14">
        <v>4</v>
      </c>
      <c r="Q82" s="14" t="s">
        <v>332</v>
      </c>
      <c r="R82" s="14" t="str" cm="1">
        <f t="array" aca="1" ref="R82" ca="1">_xlfn.TEXTJOIN(",",TRUE,MID(SUBSTITUTE(SUBSTITUTE(SUBSTITUTE(SUBSTITUTE($Q82,"↑","1"),"↓","2"),"←","3"),"→","4"),ROW(INDIRECT("1:"&amp;LEN($Q82))),1))</f>
        <v>4,2,4</v>
      </c>
      <c r="S82" s="14">
        <v>1</v>
      </c>
      <c r="T82" s="14" t="s">
        <v>51</v>
      </c>
      <c r="U82" s="14">
        <v>25</v>
      </c>
      <c r="V82" s="14">
        <v>20502</v>
      </c>
      <c r="W82" s="14" t="s">
        <v>296</v>
      </c>
      <c r="Y82" s="14">
        <v>2</v>
      </c>
      <c r="Z82" s="14">
        <v>1</v>
      </c>
      <c r="AA82" s="14">
        <v>1</v>
      </c>
    </row>
    <row r="83" spans="1:27" ht="33" x14ac:dyDescent="0.15">
      <c r="A83" s="15">
        <v>12020</v>
      </c>
      <c r="B83" s="20" t="s">
        <v>333</v>
      </c>
      <c r="C83" s="14">
        <v>2</v>
      </c>
      <c r="G83" s="16" t="s">
        <v>334</v>
      </c>
      <c r="H83" s="16" t="s">
        <v>335</v>
      </c>
      <c r="L83" s="16" t="s">
        <v>336</v>
      </c>
      <c r="P83" s="14">
        <v>4</v>
      </c>
      <c r="Q83" s="14" t="s">
        <v>337</v>
      </c>
      <c r="R83" s="14" t="str" cm="1">
        <f t="array" aca="1" ref="R83" ca="1">_xlfn.TEXTJOIN(",",TRUE,MID(SUBSTITUTE(SUBSTITUTE(SUBSTITUTE(SUBSTITUTE($Q83,"↑","1"),"↓","2"),"←","3"),"→","4"),ROW(INDIRECT("1:"&amp;LEN($Q83))),1))</f>
        <v>3,4,4</v>
      </c>
      <c r="S83" s="14">
        <v>1</v>
      </c>
      <c r="T83" s="14">
        <v>25</v>
      </c>
      <c r="U83" s="14" t="s">
        <v>51</v>
      </c>
      <c r="V83" s="14">
        <v>20502</v>
      </c>
      <c r="W83" s="14" t="s">
        <v>296</v>
      </c>
      <c r="Y83" s="14">
        <v>2</v>
      </c>
      <c r="Z83" s="14">
        <v>1</v>
      </c>
      <c r="AA83" s="14">
        <v>1</v>
      </c>
    </row>
    <row r="84" spans="1:27" x14ac:dyDescent="0.15">
      <c r="A84" s="15">
        <v>12021</v>
      </c>
      <c r="B84" s="20" t="s">
        <v>338</v>
      </c>
      <c r="C84" s="14">
        <v>2</v>
      </c>
      <c r="G84" s="16" t="s">
        <v>339</v>
      </c>
      <c r="H84" s="16" t="s">
        <v>340</v>
      </c>
      <c r="P84" s="14">
        <v>7</v>
      </c>
      <c r="Q84" s="14" t="s">
        <v>341</v>
      </c>
      <c r="R84" s="14" t="str" cm="1">
        <f t="array" aca="1" ref="R84" ca="1">_xlfn.TEXTJOIN(",",TRUE,MID(SUBSTITUTE(SUBSTITUTE(SUBSTITUTE(SUBSTITUTE($Q84,"↑","1"),"↓","2"),"←","3"),"→","4"),ROW(INDIRECT("1:"&amp;LEN($Q84))),1))</f>
        <v>2,1,4</v>
      </c>
      <c r="S84" s="14">
        <v>1</v>
      </c>
      <c r="T84" s="14" t="s">
        <v>51</v>
      </c>
      <c r="U84" s="14">
        <v>30</v>
      </c>
      <c r="V84" s="14">
        <v>20203</v>
      </c>
      <c r="W84" s="14" t="s">
        <v>184</v>
      </c>
      <c r="Y84" s="14">
        <v>2</v>
      </c>
      <c r="Z84" s="14">
        <v>1</v>
      </c>
      <c r="AA84" s="14">
        <v>1</v>
      </c>
    </row>
    <row r="85" spans="1:27" x14ac:dyDescent="0.15">
      <c r="A85" s="15">
        <v>12022</v>
      </c>
      <c r="B85" s="15" t="s">
        <v>342</v>
      </c>
      <c r="C85" s="14">
        <v>2</v>
      </c>
      <c r="H85" s="14" t="s">
        <v>343</v>
      </c>
      <c r="R85" s="14" t="e" cm="1">
        <f t="array" aca="1" ref="R85" ca="1">_xlfn.TEXTJOIN(",",TRUE,MID(SUBSTITUTE(SUBSTITUTE(SUBSTITUTE(SUBSTITUTE($Q85,"↑","1"),"↓","2"),"←","3"),"→","4"),ROW(INDIRECT("1:"&amp;LEN($Q85))),1))</f>
        <v>#REF!</v>
      </c>
      <c r="S85" s="14">
        <v>1</v>
      </c>
      <c r="V85" s="14">
        <v>20701</v>
      </c>
      <c r="W85" s="14" t="s">
        <v>293</v>
      </c>
      <c r="Y85" s="14">
        <v>1</v>
      </c>
      <c r="Z85" s="14">
        <v>1</v>
      </c>
      <c r="AA85" s="14">
        <v>1</v>
      </c>
    </row>
    <row r="86" spans="1:27" x14ac:dyDescent="0.15">
      <c r="A86" s="15">
        <v>12023</v>
      </c>
      <c r="B86" s="15" t="s">
        <v>344</v>
      </c>
      <c r="C86" s="14">
        <v>2</v>
      </c>
      <c r="H86" s="16" t="s">
        <v>345</v>
      </c>
      <c r="P86" s="14">
        <v>999</v>
      </c>
      <c r="R86" s="14" t="s">
        <v>51</v>
      </c>
      <c r="S86" s="14">
        <v>1</v>
      </c>
      <c r="T86" s="14" t="s">
        <v>51</v>
      </c>
      <c r="U86" s="14" t="s">
        <v>51</v>
      </c>
      <c r="V86" s="14">
        <v>20505</v>
      </c>
      <c r="W86" s="14" t="s">
        <v>346</v>
      </c>
      <c r="Y86" s="14">
        <v>1</v>
      </c>
      <c r="Z86" s="14">
        <v>1</v>
      </c>
      <c r="AA86" s="14">
        <v>0</v>
      </c>
    </row>
    <row r="87" spans="1:27" x14ac:dyDescent="0.15">
      <c r="A87" s="15">
        <v>12024</v>
      </c>
      <c r="B87" s="15" t="s">
        <v>347</v>
      </c>
      <c r="C87" s="14">
        <v>2</v>
      </c>
      <c r="H87" s="16" t="s">
        <v>348</v>
      </c>
      <c r="J87" s="16" t="s">
        <v>1070</v>
      </c>
      <c r="Q87" s="14" t="s">
        <v>349</v>
      </c>
      <c r="R87" s="14" t="str" cm="1">
        <f t="array" aca="1" ref="R87" ca="1">_xlfn.TEXTJOIN(",",TRUE,MID(SUBSTITUTE(SUBSTITUTE(SUBSTITUTE(SUBSTITUTE($Q87,"↑","1"),"↓","2"),"←","3"),"→","4"),ROW(INDIRECT("1:"&amp;LEN($Q87))),1))</f>
        <v>3,3,4,1</v>
      </c>
      <c r="S87" s="14">
        <v>1</v>
      </c>
      <c r="T87" s="14" t="s">
        <v>51</v>
      </c>
      <c r="U87" s="14">
        <v>500</v>
      </c>
      <c r="V87" s="14">
        <v>20001</v>
      </c>
      <c r="W87" s="14" t="s">
        <v>135</v>
      </c>
      <c r="Y87" s="14">
        <v>1</v>
      </c>
      <c r="Z87" s="14">
        <v>1</v>
      </c>
      <c r="AA87" s="14">
        <v>0</v>
      </c>
    </row>
    <row r="88" spans="1:27" ht="33" x14ac:dyDescent="0.15">
      <c r="A88" s="15">
        <v>12025</v>
      </c>
      <c r="B88" s="15" t="s">
        <v>347</v>
      </c>
      <c r="C88" s="14">
        <v>2</v>
      </c>
      <c r="G88" s="16" t="s">
        <v>350</v>
      </c>
      <c r="H88" s="16" t="s">
        <v>351</v>
      </c>
      <c r="I88" s="14"/>
      <c r="Q88" s="14" t="s">
        <v>349</v>
      </c>
      <c r="R88" s="14" t="str" cm="1">
        <f t="array" aca="1" ref="R88" ca="1">_xlfn.TEXTJOIN(",",TRUE,MID(SUBSTITUTE(SUBSTITUTE(SUBSTITUTE(SUBSTITUTE($Q88,"↑","1"),"↓","2"),"←","3"),"→","4"),ROW(INDIRECT("1:"&amp;LEN($Q88))),1))</f>
        <v>3,3,4,1</v>
      </c>
      <c r="S88" s="14">
        <v>1</v>
      </c>
      <c r="T88" s="14" t="s">
        <v>51</v>
      </c>
      <c r="U88" s="14">
        <v>500</v>
      </c>
      <c r="V88" s="14">
        <v>20001</v>
      </c>
      <c r="W88" s="14" t="s">
        <v>135</v>
      </c>
      <c r="Y88" s="14">
        <v>1</v>
      </c>
      <c r="Z88" s="14">
        <v>1</v>
      </c>
      <c r="AA88" s="14">
        <v>0</v>
      </c>
    </row>
    <row r="89" spans="1:27" x14ac:dyDescent="0.15">
      <c r="A89" s="15">
        <v>12026</v>
      </c>
      <c r="B89" s="15" t="s">
        <v>352</v>
      </c>
      <c r="C89" s="14">
        <v>2</v>
      </c>
      <c r="H89" s="16" t="s">
        <v>353</v>
      </c>
      <c r="I89" s="14"/>
      <c r="J89" s="14" t="s">
        <v>354</v>
      </c>
      <c r="L89" s="16" t="s">
        <v>355</v>
      </c>
      <c r="Q89" s="14" t="s">
        <v>356</v>
      </c>
      <c r="R89" s="14" t="str" cm="1">
        <f t="array" aca="1" ref="R89" ca="1">_xlfn.TEXTJOIN(",",TRUE,MID(SUBSTITUTE(SUBSTITUTE(SUBSTITUTE(SUBSTITUTE($Q89,"↑","1"),"↓","2"),"←","3"),"→","4"),ROW(INDIRECT("1:"&amp;LEN($Q89))),1))</f>
        <v>3,4,3</v>
      </c>
      <c r="S89" s="14">
        <v>1</v>
      </c>
      <c r="Y89" s="14">
        <v>2</v>
      </c>
      <c r="Z89" s="14">
        <v>1</v>
      </c>
      <c r="AA89" s="14">
        <v>1</v>
      </c>
    </row>
    <row r="90" spans="1:27" x14ac:dyDescent="0.15">
      <c r="A90" s="15">
        <v>12027</v>
      </c>
      <c r="B90" s="15" t="s">
        <v>357</v>
      </c>
      <c r="C90" s="14">
        <v>2</v>
      </c>
      <c r="E90" s="16" t="s">
        <v>144</v>
      </c>
      <c r="H90" s="16" t="s">
        <v>358</v>
      </c>
      <c r="I90" s="14"/>
      <c r="J90" s="14"/>
      <c r="L90" s="16" t="s">
        <v>359</v>
      </c>
      <c r="Q90" s="14" t="s">
        <v>360</v>
      </c>
      <c r="R90" s="14" t="str" cm="1">
        <f t="array" aca="1" ref="R90" ca="1">_xlfn.TEXTJOIN(",",TRUE,MID(SUBSTITUTE(SUBSTITUTE(SUBSTITUTE(SUBSTITUTE($Q90,"↑","1"),"↓","2"),"←","3"),"→","4"),ROW(INDIRECT("1:"&amp;LEN($Q90))),1))</f>
        <v>1,3,2,4</v>
      </c>
      <c r="S90" s="14">
        <v>1</v>
      </c>
      <c r="T90" s="14" t="s">
        <v>51</v>
      </c>
      <c r="U90" s="14">
        <v>15000</v>
      </c>
      <c r="V90" s="14">
        <v>20001</v>
      </c>
      <c r="W90" s="14" t="s">
        <v>135</v>
      </c>
      <c r="Y90" s="14">
        <v>1</v>
      </c>
      <c r="Z90" s="14">
        <v>1</v>
      </c>
      <c r="AA90" s="14">
        <v>0</v>
      </c>
    </row>
    <row r="91" spans="1:27" ht="33" x14ac:dyDescent="0.15">
      <c r="A91" s="15">
        <v>12028</v>
      </c>
      <c r="B91" s="15" t="s">
        <v>361</v>
      </c>
      <c r="C91" s="14">
        <v>2</v>
      </c>
      <c r="E91" s="16" t="s">
        <v>362</v>
      </c>
      <c r="H91" s="16" t="s">
        <v>363</v>
      </c>
      <c r="I91" s="14"/>
      <c r="J91" s="16" t="s">
        <v>364</v>
      </c>
      <c r="Q91" s="14" t="s">
        <v>365</v>
      </c>
      <c r="R91" s="14" t="str" cm="1">
        <f t="array" aca="1" ref="R91" ca="1">_xlfn.TEXTJOIN(",",TRUE,MID(SUBSTITUTE(SUBSTITUTE(SUBSTITUTE(SUBSTITUTE($Q91,"↑","1"),"↓","2"),"←","3"),"→","4"),ROW(INDIRECT("1:"&amp;LEN($Q91))),1))</f>
        <v>3,4</v>
      </c>
      <c r="S91" s="14">
        <v>1</v>
      </c>
      <c r="T91" s="14" t="s">
        <v>51</v>
      </c>
      <c r="U91" s="14">
        <v>1500</v>
      </c>
      <c r="V91" s="14">
        <v>20001</v>
      </c>
      <c r="W91" s="14" t="s">
        <v>135</v>
      </c>
      <c r="Y91" s="14">
        <v>1</v>
      </c>
      <c r="Z91" s="14">
        <v>1</v>
      </c>
      <c r="AA91" s="14">
        <v>0</v>
      </c>
    </row>
    <row r="92" spans="1:27" x14ac:dyDescent="0.15">
      <c r="A92" s="15">
        <v>12029</v>
      </c>
      <c r="B92" s="15" t="s">
        <v>357</v>
      </c>
      <c r="C92" s="14">
        <v>2</v>
      </c>
      <c r="E92" s="16" t="s">
        <v>144</v>
      </c>
      <c r="H92" s="16" t="s">
        <v>358</v>
      </c>
      <c r="I92" s="14"/>
      <c r="J92" s="14"/>
      <c r="L92" s="16" t="s">
        <v>366</v>
      </c>
      <c r="Q92" s="14" t="s">
        <v>360</v>
      </c>
      <c r="R92" s="14" t="str" cm="1">
        <f t="array" aca="1" ref="R92" ca="1">_xlfn.TEXTJOIN(",",TRUE,MID(SUBSTITUTE(SUBSTITUTE(SUBSTITUTE(SUBSTITUTE($Q92,"↑","1"),"↓","2"),"←","3"),"→","4"),ROW(INDIRECT("1:"&amp;LEN($Q92))),1))</f>
        <v>1,3,2,4</v>
      </c>
      <c r="S92" s="14">
        <v>1</v>
      </c>
      <c r="T92" s="14" t="s">
        <v>51</v>
      </c>
      <c r="U92" s="14">
        <v>15000</v>
      </c>
      <c r="V92" s="14">
        <v>20001</v>
      </c>
      <c r="W92" s="14" t="s">
        <v>135</v>
      </c>
      <c r="Y92" s="14">
        <v>1</v>
      </c>
      <c r="Z92" s="14">
        <v>1</v>
      </c>
      <c r="AA92" s="14">
        <v>0</v>
      </c>
    </row>
    <row r="93" spans="1:27" ht="33" x14ac:dyDescent="0.15">
      <c r="A93" s="15">
        <v>12030</v>
      </c>
      <c r="B93" s="15" t="s">
        <v>361</v>
      </c>
      <c r="C93" s="14">
        <v>2</v>
      </c>
      <c r="E93" s="16" t="s">
        <v>362</v>
      </c>
      <c r="H93" s="16" t="s">
        <v>367</v>
      </c>
      <c r="I93" s="14"/>
      <c r="J93" s="16" t="s">
        <v>368</v>
      </c>
      <c r="Q93" s="14" t="s">
        <v>365</v>
      </c>
      <c r="R93" s="14" t="str" cm="1">
        <f t="array" aca="1" ref="R93" ca="1">_xlfn.TEXTJOIN(",",TRUE,MID(SUBSTITUTE(SUBSTITUTE(SUBSTITUTE(SUBSTITUTE($Q93,"↑","1"),"↓","2"),"←","3"),"→","4"),ROW(INDIRECT("1:"&amp;LEN($Q93))),1))</f>
        <v>3,4</v>
      </c>
      <c r="S93" s="14">
        <v>1</v>
      </c>
      <c r="T93" s="14" t="s">
        <v>51</v>
      </c>
      <c r="U93" s="14">
        <v>1500</v>
      </c>
      <c r="V93" s="14">
        <v>20001</v>
      </c>
      <c r="W93" s="14" t="s">
        <v>135</v>
      </c>
      <c r="Y93" s="14">
        <v>1</v>
      </c>
      <c r="Z93" s="14">
        <v>1</v>
      </c>
      <c r="AA93" s="14">
        <v>0</v>
      </c>
    </row>
    <row r="94" spans="1:27" x14ac:dyDescent="0.15">
      <c r="A94" s="15">
        <v>12031</v>
      </c>
      <c r="B94" s="15" t="s">
        <v>369</v>
      </c>
      <c r="C94" s="14">
        <v>2</v>
      </c>
      <c r="H94" s="14" t="s">
        <v>370</v>
      </c>
      <c r="I94" s="14"/>
      <c r="J94" s="14"/>
      <c r="Q94" s="14" t="s">
        <v>371</v>
      </c>
      <c r="R94" s="14" t="str" cm="1">
        <f t="array" aca="1" ref="R94" ca="1">_xlfn.TEXTJOIN(",",TRUE,MID(SUBSTITUTE(SUBSTITUTE(SUBSTITUTE(SUBSTITUTE($Q94,"↑","1"),"↓","2"),"←","3"),"→","4"),ROW(INDIRECT("1:"&amp;LEN($Q94))),1))</f>
        <v>4,3</v>
      </c>
      <c r="S94" s="14">
        <v>1</v>
      </c>
      <c r="T94" s="14" t="s">
        <v>51</v>
      </c>
      <c r="U94" s="14">
        <v>15</v>
      </c>
      <c r="V94" s="14">
        <v>20303</v>
      </c>
      <c r="W94" s="14" t="s">
        <v>83</v>
      </c>
      <c r="Y94" s="14">
        <v>1</v>
      </c>
      <c r="Z94" s="14">
        <v>1</v>
      </c>
      <c r="AA94" s="14">
        <v>1</v>
      </c>
    </row>
    <row r="95" spans="1:27" x14ac:dyDescent="0.15">
      <c r="A95" s="15">
        <v>12032</v>
      </c>
      <c r="B95" s="15" t="s">
        <v>372</v>
      </c>
      <c r="C95" s="14">
        <v>2</v>
      </c>
      <c r="G95" s="16" t="s">
        <v>1076</v>
      </c>
      <c r="H95" s="22" t="s">
        <v>373</v>
      </c>
      <c r="J95" s="16" t="s">
        <v>374</v>
      </c>
      <c r="N95" s="16" t="s">
        <v>375</v>
      </c>
      <c r="R95" s="14" t="e" cm="1">
        <f t="array" aca="1" ref="R95" ca="1">_xlfn.TEXTJOIN(",",TRUE,MID(SUBSTITUTE(SUBSTITUTE(SUBSTITUTE(SUBSTITUTE($Q95,"↑","1"),"↓","2"),"←","3"),"→","4"),ROW(INDIRECT("1:"&amp;LEN($Q95))),1))</f>
        <v>#REF!</v>
      </c>
      <c r="S95" s="14">
        <v>1</v>
      </c>
      <c r="V95" s="14">
        <v>20001</v>
      </c>
      <c r="W95" s="14" t="s">
        <v>135</v>
      </c>
      <c r="Y95" s="14">
        <v>1</v>
      </c>
      <c r="Z95" s="14">
        <v>1</v>
      </c>
      <c r="AA95" s="14">
        <v>0</v>
      </c>
    </row>
    <row r="96" spans="1:27" x14ac:dyDescent="0.15">
      <c r="A96" s="15">
        <v>12033</v>
      </c>
      <c r="B96" s="15" t="s">
        <v>376</v>
      </c>
      <c r="C96" s="14">
        <v>2</v>
      </c>
      <c r="G96" s="16" t="s">
        <v>1077</v>
      </c>
      <c r="H96" s="16" t="s">
        <v>377</v>
      </c>
      <c r="N96" s="16" t="s">
        <v>1079</v>
      </c>
      <c r="R96" s="14" t="e" cm="1">
        <f t="array" aca="1" ref="R96" ca="1">_xlfn.TEXTJOIN(",",TRUE,MID(SUBSTITUTE(SUBSTITUTE(SUBSTITUTE(SUBSTITUTE($Q96,"↑","1"),"↓","2"),"←","3"),"→","4"),ROW(INDIRECT("1:"&amp;LEN($Q96))),1))</f>
        <v>#REF!</v>
      </c>
      <c r="S96" s="14">
        <v>1</v>
      </c>
      <c r="V96" s="14">
        <v>20001</v>
      </c>
      <c r="W96" s="14" t="s">
        <v>135</v>
      </c>
      <c r="Y96" s="14">
        <v>1</v>
      </c>
      <c r="Z96" s="14">
        <v>1</v>
      </c>
      <c r="AA96" s="14">
        <v>0</v>
      </c>
    </row>
    <row r="97" spans="1:27" x14ac:dyDescent="0.15">
      <c r="A97" s="15">
        <v>12034</v>
      </c>
      <c r="B97" s="15" t="s">
        <v>378</v>
      </c>
      <c r="C97" s="14">
        <v>2</v>
      </c>
      <c r="G97" s="16" t="s">
        <v>1078</v>
      </c>
      <c r="H97" s="22" t="s">
        <v>379</v>
      </c>
      <c r="R97" s="14" t="e" cm="1">
        <f t="array" aca="1" ref="R97" ca="1">_xlfn.TEXTJOIN(",",TRUE,MID(SUBSTITUTE(SUBSTITUTE(SUBSTITUTE(SUBSTITUTE($Q97,"↑","1"),"↓","2"),"←","3"),"→","4"),ROW(INDIRECT("1:"&amp;LEN($Q97))),1))</f>
        <v>#REF!</v>
      </c>
      <c r="S97" s="14">
        <v>1</v>
      </c>
      <c r="V97" s="14">
        <v>20001</v>
      </c>
      <c r="W97" s="14" t="s">
        <v>135</v>
      </c>
      <c r="Y97" s="14">
        <v>1</v>
      </c>
      <c r="Z97" s="14">
        <v>1</v>
      </c>
      <c r="AA97" s="14">
        <v>0</v>
      </c>
    </row>
    <row r="98" spans="1:27" x14ac:dyDescent="0.15">
      <c r="A98" s="15">
        <v>12035</v>
      </c>
      <c r="B98" s="15" t="s">
        <v>380</v>
      </c>
      <c r="C98" s="14">
        <v>2</v>
      </c>
      <c r="H98" s="16" t="s">
        <v>381</v>
      </c>
      <c r="L98" s="16" t="s">
        <v>382</v>
      </c>
      <c r="R98" s="14" t="e" cm="1">
        <f t="array" aca="1" ref="R98" ca="1">_xlfn.TEXTJOIN(",",TRUE,MID(SUBSTITUTE(SUBSTITUTE(SUBSTITUTE(SUBSTITUTE($Q98,"↑","1"),"↓","2"),"←","3"),"→","4"),ROW(INDIRECT("1:"&amp;LEN($Q98))),1))</f>
        <v>#REF!</v>
      </c>
      <c r="S98" s="14">
        <v>1</v>
      </c>
      <c r="T98" s="14">
        <v>35</v>
      </c>
      <c r="U98" s="14" t="s">
        <v>51</v>
      </c>
      <c r="V98" s="14">
        <v>20302</v>
      </c>
      <c r="W98" s="14" t="s">
        <v>383</v>
      </c>
      <c r="Y98" s="14">
        <v>2</v>
      </c>
      <c r="Z98" s="14">
        <v>1</v>
      </c>
      <c r="AA98" s="14">
        <v>1</v>
      </c>
    </row>
    <row r="99" spans="1:27" x14ac:dyDescent="0.15">
      <c r="A99" s="15">
        <v>12036</v>
      </c>
      <c r="B99" s="15" t="s">
        <v>384</v>
      </c>
      <c r="C99" s="14">
        <v>2</v>
      </c>
      <c r="E99" s="16" t="s">
        <v>85</v>
      </c>
      <c r="H99" s="16" t="s">
        <v>385</v>
      </c>
      <c r="L99" s="16" t="s">
        <v>254</v>
      </c>
      <c r="R99" s="14" t="e" cm="1">
        <f t="array" aca="1" ref="R99" ca="1">_xlfn.TEXTJOIN(",",TRUE,MID(SUBSTITUTE(SUBSTITUTE(SUBSTITUTE(SUBSTITUTE($Q99,"↑","1"),"↓","2"),"←","3"),"→","4"),ROW(INDIRECT("1:"&amp;LEN($Q99))),1))</f>
        <v>#REF!</v>
      </c>
      <c r="S99" s="14">
        <v>1</v>
      </c>
      <c r="T99" s="14" t="s">
        <v>51</v>
      </c>
      <c r="U99" s="14">
        <v>20</v>
      </c>
      <c r="V99" s="14">
        <v>20203</v>
      </c>
      <c r="W99" s="14" t="s">
        <v>184</v>
      </c>
      <c r="Y99" s="14">
        <v>2</v>
      </c>
      <c r="Z99" s="14">
        <v>1</v>
      </c>
      <c r="AA99" s="14">
        <v>1</v>
      </c>
    </row>
    <row r="100" spans="1:27" x14ac:dyDescent="0.15">
      <c r="A100" s="15">
        <v>12037</v>
      </c>
      <c r="B100" s="15" t="s">
        <v>386</v>
      </c>
      <c r="C100" s="14">
        <v>2</v>
      </c>
      <c r="H100" s="16" t="s">
        <v>387</v>
      </c>
      <c r="R100" s="14" t="e" cm="1">
        <f t="array" aca="1" ref="R100" ca="1">_xlfn.TEXTJOIN(",",TRUE,MID(SUBSTITUTE(SUBSTITUTE(SUBSTITUTE(SUBSTITUTE($Q100,"↑","1"),"↓","2"),"←","3"),"→","4"),ROW(INDIRECT("1:"&amp;LEN($Q100))),1))</f>
        <v>#REF!</v>
      </c>
      <c r="S100" s="14">
        <v>1</v>
      </c>
      <c r="T100" s="14" t="s">
        <v>51</v>
      </c>
      <c r="U100" s="14">
        <v>25</v>
      </c>
      <c r="V100" s="14">
        <v>20304</v>
      </c>
      <c r="W100" s="14" t="s">
        <v>388</v>
      </c>
      <c r="Y100" s="14">
        <v>1</v>
      </c>
      <c r="Z100" s="14">
        <v>1</v>
      </c>
      <c r="AA100" s="14">
        <v>1</v>
      </c>
    </row>
    <row r="101" spans="1:27" ht="33" x14ac:dyDescent="0.15">
      <c r="A101" s="15">
        <v>12038</v>
      </c>
      <c r="B101" s="15" t="s">
        <v>389</v>
      </c>
      <c r="C101" s="14">
        <v>2</v>
      </c>
      <c r="E101" s="16" t="s">
        <v>390</v>
      </c>
      <c r="G101" s="16" t="s">
        <v>391</v>
      </c>
      <c r="H101" s="16" t="s">
        <v>392</v>
      </c>
      <c r="J101" s="16" t="s">
        <v>393</v>
      </c>
      <c r="N101" s="16" t="s">
        <v>76</v>
      </c>
      <c r="R101" s="14" t="e" cm="1">
        <f t="array" aca="1" ref="R101" ca="1">_xlfn.TEXTJOIN(",",TRUE,MID(SUBSTITUTE(SUBSTITUTE(SUBSTITUTE(SUBSTITUTE($Q101,"↑","1"),"↓","2"),"←","3"),"→","4"),ROW(INDIRECT("1:"&amp;LEN($Q101))),1))</f>
        <v>#REF!</v>
      </c>
      <c r="S101" s="14">
        <v>1</v>
      </c>
      <c r="T101" s="14">
        <v>60</v>
      </c>
      <c r="U101" s="14">
        <v>60</v>
      </c>
      <c r="V101" s="14">
        <v>20702</v>
      </c>
      <c r="W101" s="14" t="s">
        <v>157</v>
      </c>
      <c r="Y101" s="14">
        <v>1</v>
      </c>
      <c r="Z101" s="14">
        <v>1</v>
      </c>
      <c r="AA101" s="14">
        <v>1</v>
      </c>
    </row>
    <row r="102" spans="1:27" ht="33" x14ac:dyDescent="0.15">
      <c r="A102" s="15">
        <v>12039</v>
      </c>
      <c r="B102" s="15" t="s">
        <v>394</v>
      </c>
      <c r="C102" s="14">
        <v>2</v>
      </c>
      <c r="E102" s="16" t="s">
        <v>395</v>
      </c>
      <c r="H102" s="16" t="s">
        <v>396</v>
      </c>
      <c r="L102" s="16" t="s">
        <v>397</v>
      </c>
      <c r="Q102" s="14" t="s">
        <v>398</v>
      </c>
      <c r="R102" s="14" t="str" cm="1">
        <f t="array" aca="1" ref="R102" ca="1">_xlfn.TEXTJOIN(",",TRUE,MID(SUBSTITUTE(SUBSTITUTE(SUBSTITUTE(SUBSTITUTE($Q102,"↑","1"),"↓","2"),"←","3"),"→","4"),ROW(INDIRECT("1:"&amp;LEN($Q102))),1))</f>
        <v>1,3,1,2</v>
      </c>
      <c r="S102" s="14">
        <v>1</v>
      </c>
      <c r="T102" s="14" t="s">
        <v>51</v>
      </c>
      <c r="U102" s="14">
        <v>15000</v>
      </c>
      <c r="V102" s="14">
        <v>20001</v>
      </c>
      <c r="W102" s="14" t="s">
        <v>135</v>
      </c>
      <c r="Y102" s="14">
        <v>1</v>
      </c>
      <c r="Z102" s="14">
        <v>1</v>
      </c>
      <c r="AA102" s="14">
        <v>1</v>
      </c>
    </row>
    <row r="103" spans="1:27" x14ac:dyDescent="0.15">
      <c r="A103" s="15">
        <v>12040</v>
      </c>
      <c r="B103" s="15" t="s">
        <v>399</v>
      </c>
      <c r="C103" s="14">
        <v>2</v>
      </c>
      <c r="H103" s="16" t="s">
        <v>400</v>
      </c>
      <c r="L103" s="16" t="s">
        <v>401</v>
      </c>
      <c r="Q103" s="14" t="s">
        <v>402</v>
      </c>
      <c r="R103" s="14" t="str" cm="1">
        <f t="array" aca="1" ref="R103" ca="1">_xlfn.TEXTJOIN(",",TRUE,MID(SUBSTITUTE(SUBSTITUTE(SUBSTITUTE(SUBSTITUTE($Q103,"↑","1"),"↓","2"),"←","3"),"→","4"),ROW(INDIRECT("1:"&amp;LEN($Q103))),1))</f>
        <v>2,3,3,4</v>
      </c>
      <c r="S103" s="14">
        <v>1</v>
      </c>
      <c r="T103" s="14" t="s">
        <v>51</v>
      </c>
      <c r="U103" s="14">
        <v>50</v>
      </c>
      <c r="V103" s="14">
        <v>20306</v>
      </c>
      <c r="W103" s="14" t="s">
        <v>106</v>
      </c>
      <c r="Y103" s="14">
        <v>1</v>
      </c>
      <c r="Z103" s="14">
        <v>1</v>
      </c>
      <c r="AA103" s="14">
        <v>1</v>
      </c>
    </row>
    <row r="104" spans="1:27" x14ac:dyDescent="0.15">
      <c r="A104" s="15">
        <v>12041</v>
      </c>
      <c r="B104" s="15" t="s">
        <v>403</v>
      </c>
      <c r="C104" s="14">
        <v>2</v>
      </c>
      <c r="E104" s="16" t="s">
        <v>404</v>
      </c>
      <c r="H104" s="16" t="s">
        <v>405</v>
      </c>
      <c r="L104" s="16" t="s">
        <v>266</v>
      </c>
      <c r="R104" s="14" t="e" cm="1">
        <f t="array" aca="1" ref="R104" ca="1">_xlfn.TEXTJOIN(",",TRUE,MID(SUBSTITUTE(SUBSTITUTE(SUBSTITUTE(SUBSTITUTE($Q104,"↑","1"),"↓","2"),"←","3"),"→","4"),ROW(INDIRECT("1:"&amp;LEN($Q104))),1))</f>
        <v>#REF!</v>
      </c>
      <c r="S104" s="14">
        <v>1</v>
      </c>
      <c r="T104" s="14" t="s">
        <v>51</v>
      </c>
      <c r="U104" s="14">
        <v>50</v>
      </c>
      <c r="V104" s="14">
        <v>20306</v>
      </c>
      <c r="W104" s="14" t="s">
        <v>106</v>
      </c>
      <c r="Y104" s="14">
        <v>2</v>
      </c>
      <c r="Z104" s="14">
        <v>1</v>
      </c>
      <c r="AA104" s="14">
        <v>1</v>
      </c>
    </row>
    <row r="105" spans="1:27" x14ac:dyDescent="0.15">
      <c r="A105" s="15">
        <v>12042</v>
      </c>
      <c r="B105" s="15" t="s">
        <v>406</v>
      </c>
      <c r="C105" s="14">
        <v>2</v>
      </c>
      <c r="H105" s="16" t="s">
        <v>407</v>
      </c>
      <c r="L105" s="16" t="s">
        <v>408</v>
      </c>
      <c r="R105" s="14" t="e" cm="1">
        <f t="array" aca="1" ref="R105" ca="1">_xlfn.TEXTJOIN(",",TRUE,MID(SUBSTITUTE(SUBSTITUTE(SUBSTITUTE(SUBSTITUTE($Q105,"↑","1"),"↓","2"),"←","3"),"→","4"),ROW(INDIRECT("1:"&amp;LEN($Q105))),1))</f>
        <v>#REF!</v>
      </c>
      <c r="S105" s="14">
        <v>1</v>
      </c>
      <c r="T105" s="14" t="s">
        <v>51</v>
      </c>
      <c r="U105" s="14">
        <v>25</v>
      </c>
      <c r="V105" s="14">
        <v>20203</v>
      </c>
      <c r="W105" s="14" t="s">
        <v>184</v>
      </c>
      <c r="Y105" s="14">
        <v>2</v>
      </c>
      <c r="Z105" s="14">
        <v>1</v>
      </c>
      <c r="AA105" s="14">
        <v>1</v>
      </c>
    </row>
    <row r="106" spans="1:27" ht="33" x14ac:dyDescent="0.15">
      <c r="A106" s="15">
        <v>12043</v>
      </c>
      <c r="B106" s="15" t="s">
        <v>409</v>
      </c>
      <c r="C106" s="14">
        <v>2</v>
      </c>
      <c r="E106" s="16" t="s">
        <v>410</v>
      </c>
      <c r="H106" s="16" t="s">
        <v>411</v>
      </c>
      <c r="J106" s="16" t="s">
        <v>412</v>
      </c>
      <c r="L106" s="16" t="s">
        <v>266</v>
      </c>
      <c r="R106" s="14" t="e" cm="1">
        <f t="array" aca="1" ref="R106" ca="1">_xlfn.TEXTJOIN(",",TRUE,MID(SUBSTITUTE(SUBSTITUTE(SUBSTITUTE(SUBSTITUTE($Q106,"↑","1"),"↓","2"),"←","3"),"→","4"),ROW(INDIRECT("1:"&amp;LEN($Q106))),1))</f>
        <v>#REF!</v>
      </c>
      <c r="S106" s="14">
        <v>1</v>
      </c>
      <c r="T106" s="14" t="s">
        <v>51</v>
      </c>
      <c r="U106" s="14">
        <v>40</v>
      </c>
      <c r="V106" s="14">
        <v>20203</v>
      </c>
      <c r="W106" s="14" t="s">
        <v>184</v>
      </c>
      <c r="Y106" s="14">
        <v>2</v>
      </c>
      <c r="Z106" s="14">
        <v>1</v>
      </c>
      <c r="AA106" s="14">
        <v>1</v>
      </c>
    </row>
    <row r="107" spans="1:27" ht="33" x14ac:dyDescent="0.15">
      <c r="A107" s="15">
        <v>12044</v>
      </c>
      <c r="B107" s="15" t="s">
        <v>413</v>
      </c>
      <c r="C107" s="14">
        <v>2</v>
      </c>
      <c r="H107" s="16" t="s">
        <v>414</v>
      </c>
      <c r="Q107" s="14" t="s">
        <v>415</v>
      </c>
      <c r="R107" s="14" t="str" cm="1">
        <f t="array" aca="1" ref="R107" ca="1">_xlfn.TEXTJOIN(",",TRUE,MID(SUBSTITUTE(SUBSTITUTE(SUBSTITUTE(SUBSTITUTE($Q107,"↑","1"),"↓","2"),"←","3"),"→","4"),ROW(INDIRECT("1:"&amp;LEN($Q107))),1))</f>
        <v>1,3,2</v>
      </c>
      <c r="S107" s="14">
        <v>1</v>
      </c>
      <c r="T107" s="14" t="s">
        <v>51</v>
      </c>
      <c r="U107" s="14">
        <v>25</v>
      </c>
      <c r="V107" s="14">
        <v>20306</v>
      </c>
      <c r="W107" s="14" t="s">
        <v>106</v>
      </c>
      <c r="Y107" s="14">
        <v>2</v>
      </c>
      <c r="Z107" s="14">
        <v>1</v>
      </c>
      <c r="AA107" s="14">
        <v>1</v>
      </c>
    </row>
    <row r="108" spans="1:27" x14ac:dyDescent="0.15">
      <c r="A108" s="15">
        <v>12045</v>
      </c>
      <c r="B108" s="15" t="s">
        <v>416</v>
      </c>
      <c r="C108" s="14">
        <v>2</v>
      </c>
      <c r="H108" s="16" t="s">
        <v>270</v>
      </c>
      <c r="J108" s="16" t="s">
        <v>417</v>
      </c>
      <c r="L108" s="16" t="s">
        <v>178</v>
      </c>
      <c r="Q108" s="14" t="s">
        <v>418</v>
      </c>
      <c r="R108" s="14" t="str" cm="1">
        <f t="array" aca="1" ref="R108" ca="1">_xlfn.TEXTJOIN(",",TRUE,MID(SUBSTITUTE(SUBSTITUTE(SUBSTITUTE(SUBSTITUTE($Q108,"↑","1"),"↓","2"),"←","3"),"→","4"),ROW(INDIRECT("1:"&amp;LEN($Q108))),1))</f>
        <v>3,2</v>
      </c>
      <c r="S108" s="14">
        <v>1</v>
      </c>
      <c r="T108" s="14" t="s">
        <v>51</v>
      </c>
      <c r="U108" s="14">
        <v>20</v>
      </c>
      <c r="V108" s="14">
        <v>20306</v>
      </c>
      <c r="W108" s="14" t="s">
        <v>106</v>
      </c>
      <c r="Y108" s="14">
        <v>2</v>
      </c>
      <c r="Z108" s="14">
        <v>1</v>
      </c>
      <c r="AA108" s="14">
        <v>1</v>
      </c>
    </row>
    <row r="109" spans="1:27" x14ac:dyDescent="0.15">
      <c r="A109" s="15">
        <v>12046</v>
      </c>
      <c r="B109" s="15" t="s">
        <v>419</v>
      </c>
      <c r="C109" s="14">
        <v>2</v>
      </c>
      <c r="E109" s="16" t="s">
        <v>420</v>
      </c>
      <c r="H109" s="16" t="s">
        <v>421</v>
      </c>
      <c r="J109" s="16" t="s">
        <v>422</v>
      </c>
      <c r="N109" s="16" t="s">
        <v>76</v>
      </c>
      <c r="Q109" s="14" t="s">
        <v>423</v>
      </c>
      <c r="R109" s="14" t="str" cm="1">
        <f t="array" aca="1" ref="R109" ca="1">_xlfn.TEXTJOIN(",",TRUE,MID(SUBSTITUTE(SUBSTITUTE(SUBSTITUTE(SUBSTITUTE($Q109,"↑","1"),"↓","2"),"←","3"),"→","4"),ROW(INDIRECT("1:"&amp;LEN($Q109))),1))</f>
        <v>4,1,1,4</v>
      </c>
      <c r="S109" s="14">
        <v>1</v>
      </c>
      <c r="T109" s="14" t="s">
        <v>51</v>
      </c>
      <c r="U109" s="14">
        <v>80</v>
      </c>
      <c r="V109" s="14">
        <v>20306</v>
      </c>
      <c r="W109" s="14" t="s">
        <v>106</v>
      </c>
      <c r="Y109" s="14">
        <v>2</v>
      </c>
      <c r="Z109" s="14">
        <v>1</v>
      </c>
      <c r="AA109" s="14">
        <v>1</v>
      </c>
    </row>
    <row r="110" spans="1:27" x14ac:dyDescent="0.15">
      <c r="A110" s="15">
        <v>12047</v>
      </c>
      <c r="B110" s="15" t="s">
        <v>424</v>
      </c>
      <c r="C110" s="14">
        <v>2</v>
      </c>
      <c r="H110" s="16" t="s">
        <v>425</v>
      </c>
      <c r="Q110" s="14" t="s">
        <v>303</v>
      </c>
      <c r="R110" s="14" t="str" cm="1">
        <f t="array" aca="1" ref="R110" ca="1">_xlfn.TEXTJOIN(",",TRUE,MID(SUBSTITUTE(SUBSTITUTE(SUBSTITUTE(SUBSTITUTE($Q110,"↑","1"),"↓","2"),"←","3"),"→","4"),ROW(INDIRECT("1:"&amp;LEN($Q110))),1))</f>
        <v>3,1,1</v>
      </c>
      <c r="S110" s="14">
        <v>1</v>
      </c>
      <c r="T110" s="14" t="s">
        <v>51</v>
      </c>
      <c r="U110" s="14">
        <v>20</v>
      </c>
      <c r="V110" s="14">
        <v>20201</v>
      </c>
      <c r="W110" s="14" t="s">
        <v>61</v>
      </c>
      <c r="Y110" s="14">
        <v>1</v>
      </c>
      <c r="Z110" s="14">
        <v>1</v>
      </c>
      <c r="AA110" s="14">
        <v>1</v>
      </c>
    </row>
    <row r="111" spans="1:27" x14ac:dyDescent="0.15">
      <c r="A111" s="15">
        <v>12048</v>
      </c>
      <c r="C111" s="14">
        <v>2</v>
      </c>
      <c r="E111" s="16" t="s">
        <v>426</v>
      </c>
      <c r="H111" s="16" t="s">
        <v>257</v>
      </c>
      <c r="L111" s="16" t="s">
        <v>254</v>
      </c>
      <c r="Q111" s="14" t="s">
        <v>427</v>
      </c>
      <c r="R111" s="14" t="str" cm="1">
        <f t="array" aca="1" ref="R111" ca="1">_xlfn.TEXTJOIN(",",TRUE,MID(SUBSTITUTE(SUBSTITUTE(SUBSTITUTE(SUBSTITUTE($Q111,"↑","1"),"↓","2"),"←","3"),"→","4"),ROW(INDIRECT("1:"&amp;LEN($Q111))),1))</f>
        <v>4,1,3</v>
      </c>
      <c r="S111" s="14">
        <v>1</v>
      </c>
      <c r="T111" s="14" t="s">
        <v>51</v>
      </c>
      <c r="U111" s="14">
        <v>35</v>
      </c>
      <c r="V111" s="14">
        <v>20201</v>
      </c>
      <c r="W111" s="14" t="s">
        <v>61</v>
      </c>
      <c r="Y111" s="14">
        <v>2</v>
      </c>
      <c r="Z111" s="14">
        <v>1</v>
      </c>
      <c r="AA111" s="14">
        <v>1</v>
      </c>
    </row>
    <row r="112" spans="1:27" x14ac:dyDescent="0.15">
      <c r="A112" s="15">
        <v>12049</v>
      </c>
      <c r="B112" s="15" t="s">
        <v>428</v>
      </c>
      <c r="C112" s="14">
        <v>2</v>
      </c>
      <c r="H112" s="16" t="s">
        <v>261</v>
      </c>
      <c r="J112" s="16" t="s">
        <v>429</v>
      </c>
      <c r="Q112" s="14" t="s">
        <v>356</v>
      </c>
      <c r="R112" s="14" t="str" cm="1">
        <f t="array" aca="1" ref="R112" ca="1">_xlfn.TEXTJOIN(",",TRUE,MID(SUBSTITUTE(SUBSTITUTE(SUBSTITUTE(SUBSTITUTE($Q112,"↑","1"),"↓","2"),"←","3"),"→","4"),ROW(INDIRECT("1:"&amp;LEN($Q112))),1))</f>
        <v>3,4,3</v>
      </c>
      <c r="S112" s="14">
        <v>1</v>
      </c>
      <c r="T112" s="14" t="s">
        <v>51</v>
      </c>
      <c r="U112" s="14">
        <v>55</v>
      </c>
      <c r="V112" s="14">
        <v>20201</v>
      </c>
      <c r="W112" s="14" t="s">
        <v>61</v>
      </c>
      <c r="Y112" s="14">
        <v>2</v>
      </c>
      <c r="Z112" s="14">
        <v>1</v>
      </c>
      <c r="AA112" s="14">
        <v>1</v>
      </c>
    </row>
    <row r="113" spans="1:27" ht="33" x14ac:dyDescent="0.15">
      <c r="A113" s="15">
        <v>12050</v>
      </c>
      <c r="B113" s="15" t="s">
        <v>430</v>
      </c>
      <c r="C113" s="14">
        <v>2</v>
      </c>
      <c r="E113" s="16" t="s">
        <v>431</v>
      </c>
      <c r="H113" s="16" t="s">
        <v>432</v>
      </c>
      <c r="N113" s="16" t="s">
        <v>76</v>
      </c>
      <c r="Q113" s="14" t="s">
        <v>433</v>
      </c>
      <c r="R113" s="14" t="str" cm="1">
        <f t="array" aca="1" ref="R113" ca="1">_xlfn.TEXTJOIN(",",TRUE,MID(SUBSTITUTE(SUBSTITUTE(SUBSTITUTE(SUBSTITUTE($Q113,"↑","1"),"↓","2"),"←","3"),"→","4"),ROW(INDIRECT("1:"&amp;LEN($Q113))),1))</f>
        <v>3,2,2,4</v>
      </c>
      <c r="S113" s="14">
        <v>1</v>
      </c>
      <c r="T113" s="14" t="s">
        <v>51</v>
      </c>
      <c r="U113" s="14">
        <v>40</v>
      </c>
      <c r="V113" s="14">
        <v>20201</v>
      </c>
      <c r="W113" s="14" t="s">
        <v>61</v>
      </c>
      <c r="Y113" s="14">
        <v>2</v>
      </c>
      <c r="Z113" s="14">
        <v>1</v>
      </c>
      <c r="AA113" s="14">
        <v>1</v>
      </c>
    </row>
    <row r="114" spans="1:27" ht="33" x14ac:dyDescent="0.15">
      <c r="A114" s="15">
        <v>12051</v>
      </c>
      <c r="B114" s="15" t="s">
        <v>434</v>
      </c>
      <c r="C114" s="14">
        <v>2</v>
      </c>
      <c r="E114" s="16" t="s">
        <v>435</v>
      </c>
      <c r="H114" s="16" t="s">
        <v>436</v>
      </c>
      <c r="I114" s="14"/>
      <c r="J114" s="14"/>
      <c r="N114" s="16" t="s">
        <v>76</v>
      </c>
      <c r="Q114" s="14" t="s">
        <v>267</v>
      </c>
      <c r="R114" s="14" t="str" cm="1">
        <f t="array" aca="1" ref="R114" ca="1">_xlfn.TEXTJOIN(",",TRUE,MID(SUBSTITUTE(SUBSTITUTE(SUBSTITUTE(SUBSTITUTE($Q114,"↑","1"),"↓","2"),"←","3"),"→","4"),ROW(INDIRECT("1:"&amp;LEN($Q114))),1))</f>
        <v>1,3</v>
      </c>
      <c r="S114" s="14">
        <v>1</v>
      </c>
      <c r="T114" s="14" t="s">
        <v>51</v>
      </c>
      <c r="U114" s="14">
        <v>50</v>
      </c>
      <c r="V114" s="14">
        <v>20203</v>
      </c>
      <c r="W114" s="14" t="s">
        <v>184</v>
      </c>
      <c r="Y114" s="14">
        <v>2</v>
      </c>
      <c r="Z114" s="14">
        <v>1</v>
      </c>
      <c r="AA114" s="14">
        <v>1</v>
      </c>
    </row>
    <row r="115" spans="1:27" ht="33" x14ac:dyDescent="0.15">
      <c r="A115" s="15">
        <v>12052</v>
      </c>
      <c r="B115" s="15" t="s">
        <v>437</v>
      </c>
      <c r="C115" s="14">
        <v>2</v>
      </c>
      <c r="H115" s="16" t="s">
        <v>438</v>
      </c>
      <c r="N115" s="16" t="s">
        <v>201</v>
      </c>
      <c r="O115" s="14">
        <v>6</v>
      </c>
      <c r="P115" s="14">
        <v>4</v>
      </c>
      <c r="Q115" s="14" t="s">
        <v>439</v>
      </c>
      <c r="R115" s="14" t="str" cm="1">
        <f t="array" aca="1" ref="R115" ca="1">_xlfn.TEXTJOIN(",",TRUE,MID(SUBSTITUTE(SUBSTITUTE(SUBSTITUTE(SUBSTITUTE($Q115,"↑","1"),"↓","2"),"←","3"),"→","4"),ROW(INDIRECT("1:"&amp;LEN($Q115))),1))</f>
        <v>2,4,4</v>
      </c>
      <c r="S115" s="14">
        <v>1</v>
      </c>
      <c r="T115" s="14" t="s">
        <v>51</v>
      </c>
      <c r="U115" s="14">
        <v>35</v>
      </c>
      <c r="V115" s="14">
        <v>20307</v>
      </c>
      <c r="W115" s="14" t="s">
        <v>440</v>
      </c>
      <c r="Y115" s="14">
        <v>2</v>
      </c>
      <c r="Z115" s="14">
        <v>1</v>
      </c>
      <c r="AA115" s="14">
        <v>1</v>
      </c>
    </row>
    <row r="116" spans="1:27" x14ac:dyDescent="0.15">
      <c r="A116" s="15">
        <v>12053</v>
      </c>
      <c r="B116" s="15" t="s">
        <v>441</v>
      </c>
      <c r="C116" s="14">
        <v>2</v>
      </c>
      <c r="H116" s="16" t="s">
        <v>261</v>
      </c>
      <c r="I116" s="14"/>
      <c r="J116" s="14"/>
      <c r="L116" s="16" t="s">
        <v>1092</v>
      </c>
      <c r="N116" s="16" t="s">
        <v>1099</v>
      </c>
      <c r="O116" s="14">
        <v>1</v>
      </c>
      <c r="P116" s="14">
        <v>3</v>
      </c>
      <c r="Q116" s="14" t="s">
        <v>50</v>
      </c>
      <c r="R116" s="14" t="str" cm="1">
        <f t="array" aca="1" ref="R116" ca="1">_xlfn.TEXTJOIN(",",TRUE,MID(SUBSTITUTE(SUBSTITUTE(SUBSTITUTE(SUBSTITUTE($Q116,"↑","1"),"↓","2"),"←","3"),"→","4"),ROW(INDIRECT("1:"&amp;LEN($Q116))),1))</f>
        <v>2,2</v>
      </c>
      <c r="T116" s="14">
        <v>30</v>
      </c>
      <c r="U116" s="14" t="s">
        <v>51</v>
      </c>
      <c r="V116" s="14">
        <v>20507</v>
      </c>
      <c r="W116" s="14" t="s">
        <v>442</v>
      </c>
      <c r="Y116" s="14">
        <v>1</v>
      </c>
      <c r="Z116" s="14">
        <v>1</v>
      </c>
      <c r="AA116" s="14">
        <v>1</v>
      </c>
    </row>
    <row r="117" spans="1:27" x14ac:dyDescent="0.15">
      <c r="A117" s="15">
        <v>12054</v>
      </c>
      <c r="B117" s="15" t="s">
        <v>443</v>
      </c>
      <c r="C117" s="14">
        <v>2</v>
      </c>
      <c r="H117" s="16" t="s">
        <v>444</v>
      </c>
      <c r="I117" s="14"/>
      <c r="J117" s="14"/>
      <c r="L117" s="16" t="s">
        <v>445</v>
      </c>
      <c r="O117" s="14">
        <v>1</v>
      </c>
      <c r="P117" s="14">
        <v>1</v>
      </c>
      <c r="Q117" s="14" t="s">
        <v>255</v>
      </c>
      <c r="R117" s="14" t="str" cm="1">
        <f t="array" aca="1" ref="R117" ca="1">_xlfn.TEXTJOIN(",",TRUE,MID(SUBSTITUTE(SUBSTITUTE(SUBSTITUTE(SUBSTITUTE($Q117,"↑","1"),"↓","2"),"←","3"),"→","4"),ROW(INDIRECT("1:"&amp;LEN($Q117))),1))</f>
        <v>4,1</v>
      </c>
      <c r="T117" s="14" t="s">
        <v>51</v>
      </c>
      <c r="U117" s="14">
        <v>50</v>
      </c>
      <c r="V117" s="14">
        <v>20507</v>
      </c>
      <c r="W117" s="14" t="s">
        <v>442</v>
      </c>
      <c r="Y117" s="14">
        <v>2</v>
      </c>
      <c r="Z117" s="14">
        <v>1</v>
      </c>
      <c r="AA117" s="14">
        <v>1</v>
      </c>
    </row>
    <row r="118" spans="1:27" ht="33" x14ac:dyDescent="0.15">
      <c r="A118" s="15">
        <v>12055</v>
      </c>
      <c r="C118" s="14">
        <v>2</v>
      </c>
      <c r="H118" s="16" t="s">
        <v>446</v>
      </c>
      <c r="I118" s="14"/>
      <c r="J118" s="14"/>
      <c r="L118" s="16" t="s">
        <v>447</v>
      </c>
      <c r="O118" s="14">
        <v>6</v>
      </c>
      <c r="P118" s="14">
        <v>999</v>
      </c>
      <c r="Q118" s="14" t="s">
        <v>448</v>
      </c>
      <c r="R118" s="14" t="str" cm="1">
        <f t="array" aca="1" ref="R118" ca="1">_xlfn.TEXTJOIN(",",TRUE,MID(SUBSTITUTE(SUBSTITUTE(SUBSTITUTE(SUBSTITUTE($Q118,"↑","1"),"↓","2"),"←","3"),"→","4"),ROW(INDIRECT("1:"&amp;LEN($Q118))),1))</f>
        <v>3,3,4,4</v>
      </c>
      <c r="T118" s="14" t="s">
        <v>51</v>
      </c>
      <c r="U118" s="14">
        <v>70</v>
      </c>
      <c r="V118" s="14">
        <v>20507</v>
      </c>
      <c r="W118" s="14" t="s">
        <v>442</v>
      </c>
      <c r="Y118" s="14">
        <v>1</v>
      </c>
      <c r="Z118" s="14">
        <v>1</v>
      </c>
      <c r="AA118" s="14">
        <v>1</v>
      </c>
    </row>
    <row r="119" spans="1:27" x14ac:dyDescent="0.15">
      <c r="A119" s="15">
        <v>12056</v>
      </c>
      <c r="C119" s="14">
        <v>2</v>
      </c>
      <c r="H119" s="16" t="s">
        <v>449</v>
      </c>
      <c r="L119" s="16" t="s">
        <v>450</v>
      </c>
      <c r="N119" s="16" t="s">
        <v>201</v>
      </c>
      <c r="O119" s="14">
        <v>6</v>
      </c>
      <c r="P119" s="14">
        <v>8</v>
      </c>
      <c r="Q119" s="14" t="s">
        <v>451</v>
      </c>
      <c r="R119" s="14" t="str" cm="1">
        <f t="array" aca="1" ref="R119" ca="1">_xlfn.TEXTJOIN(",",TRUE,MID(SUBSTITUTE(SUBSTITUTE(SUBSTITUTE(SUBSTITUTE($Q119,"↑","1"),"↓","2"),"←","3"),"→","4"),ROW(INDIRECT("1:"&amp;LEN($Q119))),1))</f>
        <v>1,2,2</v>
      </c>
      <c r="T119" s="14">
        <v>20</v>
      </c>
      <c r="U119" s="14" t="s">
        <v>51</v>
      </c>
      <c r="V119" s="14">
        <v>20507</v>
      </c>
      <c r="W119" s="14" t="s">
        <v>442</v>
      </c>
      <c r="Y119" s="14">
        <v>1</v>
      </c>
      <c r="Z119" s="14">
        <v>1</v>
      </c>
      <c r="AA119" s="14">
        <v>1</v>
      </c>
    </row>
    <row r="120" spans="1:27" x14ac:dyDescent="0.15">
      <c r="A120" s="15">
        <v>12057</v>
      </c>
      <c r="B120" s="15" t="s">
        <v>452</v>
      </c>
      <c r="C120" s="14">
        <v>2</v>
      </c>
      <c r="H120" s="14" t="s">
        <v>453</v>
      </c>
      <c r="I120" s="14"/>
      <c r="J120" s="14"/>
      <c r="L120" s="16" t="s">
        <v>1089</v>
      </c>
      <c r="N120" s="16" t="s">
        <v>454</v>
      </c>
      <c r="P120" s="14">
        <v>999</v>
      </c>
      <c r="R120" s="14" t="e" cm="1">
        <f t="array" aca="1" ref="R120" ca="1">_xlfn.TEXTJOIN(",",TRUE,MID(SUBSTITUTE(SUBSTITUTE(SUBSTITUTE(SUBSTITUTE($Q120,"↑","1"),"↓","2"),"←","3"),"→","4"),ROW(INDIRECT("1:"&amp;LEN($Q120))),1))</f>
        <v>#REF!</v>
      </c>
      <c r="S120" s="14">
        <v>1</v>
      </c>
      <c r="V120" s="14">
        <v>20001</v>
      </c>
      <c r="W120" s="14" t="s">
        <v>135</v>
      </c>
      <c r="Y120" s="14">
        <v>1</v>
      </c>
      <c r="Z120" s="14">
        <v>1</v>
      </c>
      <c r="AA120" s="14">
        <v>0</v>
      </c>
    </row>
    <row r="121" spans="1:27" ht="33" x14ac:dyDescent="0.15">
      <c r="A121" s="15">
        <v>12058</v>
      </c>
      <c r="B121" s="15" t="s">
        <v>455</v>
      </c>
      <c r="C121" s="14">
        <v>2</v>
      </c>
      <c r="G121" s="16" t="s">
        <v>456</v>
      </c>
      <c r="H121" s="16" t="s">
        <v>400</v>
      </c>
      <c r="P121" s="14">
        <v>999</v>
      </c>
      <c r="R121" s="14" t="e" cm="1">
        <f t="array" aca="1" ref="R121" ca="1">_xlfn.TEXTJOIN(",",TRUE,MID(SUBSTITUTE(SUBSTITUTE(SUBSTITUTE(SUBSTITUTE($Q121,"↑","1"),"↓","2"),"←","3"),"→","4"),ROW(INDIRECT("1:"&amp;LEN($Q121))),1))</f>
        <v>#REF!</v>
      </c>
      <c r="S121" s="14">
        <v>1</v>
      </c>
      <c r="V121" s="14">
        <v>20001</v>
      </c>
      <c r="W121" s="14" t="s">
        <v>135</v>
      </c>
      <c r="Y121" s="14">
        <v>1</v>
      </c>
      <c r="Z121" s="14">
        <v>1</v>
      </c>
      <c r="AA121" s="14">
        <v>0</v>
      </c>
    </row>
    <row r="122" spans="1:27" ht="33" x14ac:dyDescent="0.15">
      <c r="A122" s="15">
        <v>12059</v>
      </c>
      <c r="B122" s="15" t="s">
        <v>457</v>
      </c>
      <c r="C122" s="14">
        <v>2</v>
      </c>
      <c r="H122" s="16" t="s">
        <v>458</v>
      </c>
      <c r="I122" s="14"/>
      <c r="J122" s="14" t="s">
        <v>459</v>
      </c>
      <c r="P122" s="14">
        <v>999</v>
      </c>
      <c r="R122" s="14" t="e" cm="1">
        <f t="array" aca="1" ref="R122" ca="1">_xlfn.TEXTJOIN(",",TRUE,MID(SUBSTITUTE(SUBSTITUTE(SUBSTITUTE(SUBSTITUTE($Q122,"↑","1"),"↓","2"),"←","3"),"→","4"),ROW(INDIRECT("1:"&amp;LEN($Q122))),1))</f>
        <v>#REF!</v>
      </c>
      <c r="S122" s="14">
        <v>1</v>
      </c>
      <c r="V122" s="14">
        <v>20001</v>
      </c>
      <c r="W122" s="14" t="s">
        <v>135</v>
      </c>
      <c r="Y122" s="14">
        <v>1</v>
      </c>
      <c r="Z122" s="14">
        <v>1</v>
      </c>
      <c r="AA122" s="14">
        <v>0</v>
      </c>
    </row>
    <row r="123" spans="1:27" x14ac:dyDescent="0.15">
      <c r="A123" s="15">
        <v>12060</v>
      </c>
      <c r="B123" s="15" t="s">
        <v>460</v>
      </c>
      <c r="C123" s="14">
        <v>2</v>
      </c>
      <c r="H123" s="16" t="s">
        <v>461</v>
      </c>
      <c r="I123" s="14"/>
      <c r="J123" s="14"/>
      <c r="N123" s="16" t="s">
        <v>462</v>
      </c>
      <c r="Q123" s="14" t="s">
        <v>463</v>
      </c>
      <c r="R123" s="14" t="str" cm="1">
        <f t="array" aca="1" ref="R123" ca="1">_xlfn.TEXTJOIN(",",TRUE,MID(SUBSTITUTE(SUBSTITUTE(SUBSTITUTE(SUBSTITUTE($Q123,"↑","1"),"↓","2"),"←","3"),"→","4"),ROW(INDIRECT("1:"&amp;LEN($Q123))),1))</f>
        <v>3,3,4</v>
      </c>
      <c r="S123" s="14">
        <v>1</v>
      </c>
      <c r="T123" s="14" t="s">
        <v>51</v>
      </c>
      <c r="U123" s="14">
        <v>45</v>
      </c>
      <c r="V123" s="14">
        <v>20303</v>
      </c>
      <c r="W123" s="14" t="s">
        <v>83</v>
      </c>
      <c r="Y123" s="14">
        <v>1</v>
      </c>
      <c r="Z123" s="14">
        <v>1</v>
      </c>
      <c r="AA123" s="14">
        <v>1</v>
      </c>
    </row>
    <row r="124" spans="1:27" x14ac:dyDescent="0.15">
      <c r="A124" s="15">
        <v>12061</v>
      </c>
      <c r="B124" s="15" t="s">
        <v>347</v>
      </c>
      <c r="C124" s="14">
        <v>2</v>
      </c>
      <c r="H124" s="16" t="s">
        <v>348</v>
      </c>
      <c r="J124" s="16" t="s">
        <v>464</v>
      </c>
      <c r="Q124" s="14" t="s">
        <v>349</v>
      </c>
      <c r="R124" s="14" t="str" cm="1">
        <f t="array" aca="1" ref="R124" ca="1">_xlfn.TEXTJOIN(",",TRUE,MID(SUBSTITUTE(SUBSTITUTE(SUBSTITUTE(SUBSTITUTE($Q124,"↑","1"),"↓","2"),"←","3"),"→","4"),ROW(INDIRECT("1:"&amp;LEN($Q124))),1))</f>
        <v>3,3,4,1</v>
      </c>
      <c r="S124" s="14">
        <v>1</v>
      </c>
      <c r="V124" s="14">
        <v>20001</v>
      </c>
      <c r="W124" s="14" t="s">
        <v>135</v>
      </c>
      <c r="Y124" s="14">
        <v>2</v>
      </c>
      <c r="Z124" s="14">
        <v>1</v>
      </c>
      <c r="AA124" s="14">
        <v>0</v>
      </c>
    </row>
    <row r="125" spans="1:27" x14ac:dyDescent="0.15">
      <c r="A125" s="15">
        <v>12062</v>
      </c>
      <c r="B125" s="15" t="s">
        <v>347</v>
      </c>
      <c r="C125" s="14">
        <v>2</v>
      </c>
      <c r="G125" s="16" t="s">
        <v>465</v>
      </c>
      <c r="H125" s="16" t="s">
        <v>351</v>
      </c>
      <c r="I125" s="14"/>
      <c r="Q125" s="14" t="s">
        <v>349</v>
      </c>
      <c r="R125" s="14" t="str" cm="1">
        <f t="array" aca="1" ref="R125" ca="1">_xlfn.TEXTJOIN(",",TRUE,MID(SUBSTITUTE(SUBSTITUTE(SUBSTITUTE(SUBSTITUTE($Q125,"↑","1"),"↓","2"),"←","3"),"→","4"),ROW(INDIRECT("1:"&amp;LEN($Q125))),1))</f>
        <v>3,3,4,1</v>
      </c>
      <c r="S125" s="14">
        <v>1</v>
      </c>
      <c r="V125" s="14">
        <v>20001</v>
      </c>
      <c r="W125" s="14" t="s">
        <v>135</v>
      </c>
      <c r="Y125" s="14">
        <v>2</v>
      </c>
      <c r="Z125" s="14">
        <v>1</v>
      </c>
      <c r="AA125" s="14">
        <v>0</v>
      </c>
    </row>
    <row r="126" spans="1:27" ht="33" x14ac:dyDescent="0.15">
      <c r="A126" s="15">
        <v>12063</v>
      </c>
      <c r="B126" s="15" t="s">
        <v>361</v>
      </c>
      <c r="C126" s="14">
        <v>2</v>
      </c>
      <c r="G126" s="16" t="s">
        <v>362</v>
      </c>
      <c r="H126" s="16" t="s">
        <v>363</v>
      </c>
      <c r="I126" s="14"/>
      <c r="J126" s="16" t="s">
        <v>364</v>
      </c>
      <c r="Q126" s="14" t="s">
        <v>365</v>
      </c>
      <c r="R126" s="14" t="str" cm="1">
        <f t="array" aca="1" ref="R126" ca="1">_xlfn.TEXTJOIN(",",TRUE,MID(SUBSTITUTE(SUBSTITUTE(SUBSTITUTE(SUBSTITUTE($Q126,"↑","1"),"↓","2"),"←","3"),"→","4"),ROW(INDIRECT("1:"&amp;LEN($Q126))),1))</f>
        <v>3,4</v>
      </c>
      <c r="S126" s="14">
        <v>1</v>
      </c>
      <c r="V126" s="14">
        <v>20001</v>
      </c>
      <c r="W126" s="14" t="s">
        <v>135</v>
      </c>
      <c r="Y126" s="14">
        <v>1</v>
      </c>
      <c r="Z126" s="14">
        <v>1</v>
      </c>
      <c r="AA126" s="14">
        <v>0</v>
      </c>
    </row>
    <row r="127" spans="1:27" ht="33" x14ac:dyDescent="0.15">
      <c r="A127" s="15">
        <v>12064</v>
      </c>
      <c r="B127" s="15" t="s">
        <v>361</v>
      </c>
      <c r="C127" s="14">
        <v>2</v>
      </c>
      <c r="G127" s="16" t="s">
        <v>362</v>
      </c>
      <c r="H127" s="16" t="s">
        <v>367</v>
      </c>
      <c r="I127" s="14"/>
      <c r="J127" s="16" t="s">
        <v>368</v>
      </c>
      <c r="Q127" s="14" t="s">
        <v>365</v>
      </c>
      <c r="R127" s="14" t="str" cm="1">
        <f t="array" aca="1" ref="R127" ca="1">_xlfn.TEXTJOIN(",",TRUE,MID(SUBSTITUTE(SUBSTITUTE(SUBSTITUTE(SUBSTITUTE($Q127,"↑","1"),"↓","2"),"←","3"),"→","4"),ROW(INDIRECT("1:"&amp;LEN($Q127))),1))</f>
        <v>3,4</v>
      </c>
      <c r="S127" s="14">
        <v>1</v>
      </c>
      <c r="V127" s="14">
        <v>20001</v>
      </c>
      <c r="W127" s="14" t="s">
        <v>135</v>
      </c>
      <c r="Y127" s="14">
        <v>1</v>
      </c>
      <c r="Z127" s="14">
        <v>1</v>
      </c>
      <c r="AA127" s="14">
        <v>0</v>
      </c>
    </row>
    <row r="128" spans="1:27" x14ac:dyDescent="0.15">
      <c r="A128" s="15">
        <v>12065</v>
      </c>
      <c r="B128" s="15" t="s">
        <v>466</v>
      </c>
      <c r="C128" s="14">
        <v>2</v>
      </c>
      <c r="H128" s="16" t="s">
        <v>467</v>
      </c>
      <c r="I128" s="14"/>
      <c r="J128" s="14"/>
      <c r="L128" s="16" t="s">
        <v>468</v>
      </c>
      <c r="N128" s="16" t="s">
        <v>469</v>
      </c>
      <c r="O128" s="14">
        <v>3</v>
      </c>
      <c r="Q128" s="14" t="s">
        <v>470</v>
      </c>
      <c r="R128" s="14" t="str" cm="1">
        <f t="array" aca="1" ref="R128" ca="1">_xlfn.TEXTJOIN(",",TRUE,MID(SUBSTITUTE(SUBSTITUTE(SUBSTITUTE(SUBSTITUTE($Q128,"↑","1"),"↓","2"),"←","3"),"→","4"),ROW(INDIRECT("1:"&amp;LEN($Q128))),1))</f>
        <v>2,4,2</v>
      </c>
      <c r="S128" s="14">
        <v>1</v>
      </c>
      <c r="T128" s="14" t="s">
        <v>51</v>
      </c>
      <c r="U128" s="14">
        <v>40</v>
      </c>
      <c r="V128" s="14">
        <v>20501</v>
      </c>
      <c r="W128" s="14" t="s">
        <v>471</v>
      </c>
      <c r="Y128" s="14">
        <v>2</v>
      </c>
      <c r="Z128" s="14">
        <v>1</v>
      </c>
      <c r="AA128" s="14">
        <v>1</v>
      </c>
    </row>
    <row r="129" spans="1:27" x14ac:dyDescent="0.15">
      <c r="A129" s="15">
        <v>12066</v>
      </c>
      <c r="B129" s="15" t="s">
        <v>472</v>
      </c>
      <c r="C129" s="14">
        <v>2</v>
      </c>
      <c r="E129" s="16" t="s">
        <v>274</v>
      </c>
      <c r="H129" s="16" t="s">
        <v>400</v>
      </c>
      <c r="I129" s="14"/>
      <c r="J129" s="14" t="s">
        <v>473</v>
      </c>
      <c r="N129" s="16" t="s">
        <v>76</v>
      </c>
      <c r="Q129" s="14" t="s">
        <v>474</v>
      </c>
      <c r="R129" s="14" t="str" cm="1">
        <f t="array" aca="1" ref="R129" ca="1">_xlfn.TEXTJOIN(",",TRUE,MID(SUBSTITUTE(SUBSTITUTE(SUBSTITUTE(SUBSTITUTE($Q129,"↑","1"),"↓","2"),"←","3"),"→","4"),ROW(INDIRECT("1:"&amp;LEN($Q129))),1))</f>
        <v>2,1,4,4</v>
      </c>
      <c r="S129" s="14">
        <v>1</v>
      </c>
      <c r="T129" s="14" t="s">
        <v>51</v>
      </c>
      <c r="U129" s="14">
        <v>50</v>
      </c>
      <c r="V129" s="14">
        <v>20405</v>
      </c>
      <c r="W129" s="14" t="s">
        <v>475</v>
      </c>
      <c r="Y129" s="14">
        <v>1</v>
      </c>
      <c r="Z129" s="14">
        <v>1</v>
      </c>
      <c r="AA129" s="14">
        <v>1</v>
      </c>
    </row>
    <row r="130" spans="1:27" x14ac:dyDescent="0.15">
      <c r="A130" s="15">
        <v>12067</v>
      </c>
      <c r="B130" s="15" t="s">
        <v>476</v>
      </c>
      <c r="C130" s="14">
        <v>2</v>
      </c>
      <c r="E130" s="16" t="s">
        <v>477</v>
      </c>
      <c r="G130" s="16" t="s">
        <v>478</v>
      </c>
      <c r="H130" s="16" t="s">
        <v>479</v>
      </c>
      <c r="I130" s="14"/>
      <c r="J130" s="14"/>
      <c r="L130" s="16" t="s">
        <v>480</v>
      </c>
      <c r="N130" s="16" t="s">
        <v>481</v>
      </c>
      <c r="R130" s="14" t="e" cm="1">
        <f t="array" aca="1" ref="R130" ca="1">_xlfn.TEXTJOIN(",",TRUE,MID(SUBSTITUTE(SUBSTITUTE(SUBSTITUTE(SUBSTITUTE($Q130,"↑","1"),"↓","2"),"←","3"),"→","4"),ROW(INDIRECT("1:"&amp;LEN($Q130))),1))</f>
        <v>#REF!</v>
      </c>
      <c r="S130" s="14">
        <v>1</v>
      </c>
      <c r="T130" s="14" t="s">
        <v>51</v>
      </c>
      <c r="U130" s="14">
        <v>60</v>
      </c>
      <c r="V130" s="14">
        <v>20503</v>
      </c>
      <c r="W130" s="14" t="s">
        <v>482</v>
      </c>
      <c r="Y130" s="14">
        <v>1</v>
      </c>
      <c r="Z130" s="14">
        <v>1</v>
      </c>
      <c r="AA130" s="14">
        <v>1</v>
      </c>
    </row>
    <row r="131" spans="1:27" x14ac:dyDescent="0.15">
      <c r="A131" s="15">
        <v>12068</v>
      </c>
      <c r="B131" s="15" t="s">
        <v>483</v>
      </c>
      <c r="C131" s="14">
        <v>2</v>
      </c>
      <c r="G131" s="16" t="s">
        <v>1072</v>
      </c>
      <c r="H131" s="16" t="s">
        <v>484</v>
      </c>
      <c r="I131" s="14"/>
      <c r="J131" s="14"/>
      <c r="R131" s="14" t="e" cm="1">
        <f t="array" aca="1" ref="R131" ca="1">_xlfn.TEXTJOIN(",",TRUE,MID(SUBSTITUTE(SUBSTITUTE(SUBSTITUTE(SUBSTITUTE($Q131,"↑","1"),"↓","2"),"←","3"),"→","4"),ROW(INDIRECT("1:"&amp;LEN($Q131))),1))</f>
        <v>#REF!</v>
      </c>
      <c r="S131" s="14">
        <v>1</v>
      </c>
      <c r="T131" s="14">
        <v>15</v>
      </c>
      <c r="U131" s="14">
        <v>15</v>
      </c>
      <c r="V131" s="14">
        <v>20503</v>
      </c>
      <c r="W131" s="14" t="s">
        <v>482</v>
      </c>
      <c r="Y131" s="14">
        <v>2</v>
      </c>
      <c r="Z131" s="14">
        <v>1</v>
      </c>
      <c r="AA131" s="14">
        <v>1</v>
      </c>
    </row>
    <row r="132" spans="1:27" x14ac:dyDescent="0.15">
      <c r="A132" s="15">
        <v>12069</v>
      </c>
      <c r="B132" s="15" t="s">
        <v>485</v>
      </c>
      <c r="C132" s="14">
        <v>2</v>
      </c>
      <c r="E132" s="16" t="s">
        <v>486</v>
      </c>
      <c r="H132" s="16" t="s">
        <v>261</v>
      </c>
      <c r="I132" s="14"/>
      <c r="J132" s="14" t="s">
        <v>487</v>
      </c>
      <c r="Q132" s="14" t="s">
        <v>323</v>
      </c>
      <c r="R132" s="14" t="str" cm="1">
        <f t="array" aca="1" ref="R132" ca="1">_xlfn.TEXTJOIN(",",TRUE,MID(SUBSTITUTE(SUBSTITUTE(SUBSTITUTE(SUBSTITUTE($Q132,"↑","1"),"↓","2"),"←","3"),"→","4"),ROW(INDIRECT("1:"&amp;LEN($Q132))),1))</f>
        <v>4,3,3</v>
      </c>
      <c r="S132" s="14">
        <v>1</v>
      </c>
      <c r="T132" s="14" t="s">
        <v>51</v>
      </c>
      <c r="U132" s="14">
        <v>40</v>
      </c>
      <c r="V132" s="14">
        <v>20503</v>
      </c>
      <c r="W132" s="14" t="s">
        <v>482</v>
      </c>
      <c r="Y132" s="14">
        <v>2</v>
      </c>
      <c r="Z132" s="14">
        <v>1</v>
      </c>
      <c r="AA132" s="14">
        <v>1</v>
      </c>
    </row>
    <row r="133" spans="1:27" x14ac:dyDescent="0.15">
      <c r="A133" s="15">
        <v>12070</v>
      </c>
      <c r="B133" s="20" t="s">
        <v>488</v>
      </c>
      <c r="C133" s="14">
        <v>2</v>
      </c>
      <c r="E133" s="16" t="s">
        <v>108</v>
      </c>
      <c r="H133" s="16" t="s">
        <v>109</v>
      </c>
      <c r="O133" s="14">
        <v>1</v>
      </c>
      <c r="P133" s="14">
        <v>0</v>
      </c>
      <c r="Q133" s="14" t="s">
        <v>489</v>
      </c>
      <c r="R133" s="14" t="str" cm="1">
        <f t="array" aca="1" ref="R133" ca="1">_xlfn.TEXTJOIN(",",TRUE,MID(SUBSTITUTE(SUBSTITUTE(SUBSTITUTE(SUBSTITUTE($Q133,"↑","1"),"↓","2"),"←","3"),"→","4"),ROW(INDIRECT("1:"&amp;LEN($Q133))),1))</f>
        <v>4</v>
      </c>
      <c r="S133" s="14">
        <v>1</v>
      </c>
      <c r="V133" s="14">
        <v>20101</v>
      </c>
      <c r="W133" s="14" t="s">
        <v>71</v>
      </c>
      <c r="Y133" s="14">
        <v>2</v>
      </c>
      <c r="Z133" s="14">
        <v>1</v>
      </c>
      <c r="AA133" s="14">
        <v>1</v>
      </c>
    </row>
    <row r="134" spans="1:27" ht="49.5" x14ac:dyDescent="0.15">
      <c r="A134" s="15">
        <v>12071</v>
      </c>
      <c r="B134" s="15" t="s">
        <v>490</v>
      </c>
      <c r="C134" s="14">
        <v>2</v>
      </c>
      <c r="E134" s="16" t="s">
        <v>491</v>
      </c>
      <c r="H134" s="16" t="s">
        <v>492</v>
      </c>
      <c r="N134" s="16" t="s">
        <v>493</v>
      </c>
      <c r="R134" s="14" t="e" cm="1">
        <f t="array" aca="1" ref="R134" ca="1">_xlfn.TEXTJOIN(",",TRUE,MID(SUBSTITUTE(SUBSTITUTE(SUBSTITUTE(SUBSTITUTE($Q134,"↑","1"),"↓","2"),"←","3"),"→","4"),ROW(INDIRECT("1:"&amp;LEN($Q134))),1))</f>
        <v>#REF!</v>
      </c>
      <c r="S134" s="14">
        <v>1</v>
      </c>
      <c r="T134" s="14" t="s">
        <v>51</v>
      </c>
      <c r="U134" s="14">
        <v>10</v>
      </c>
      <c r="V134" s="14">
        <v>20409</v>
      </c>
      <c r="W134" s="14" t="s">
        <v>494</v>
      </c>
      <c r="Y134" s="14">
        <v>1</v>
      </c>
      <c r="Z134" s="14">
        <v>1</v>
      </c>
      <c r="AA134" s="14">
        <v>1</v>
      </c>
    </row>
    <row r="135" spans="1:27" x14ac:dyDescent="0.15">
      <c r="A135" s="15">
        <v>12072</v>
      </c>
      <c r="B135" s="15" t="s">
        <v>495</v>
      </c>
      <c r="C135" s="14">
        <v>2</v>
      </c>
      <c r="H135" s="16" t="s">
        <v>1094</v>
      </c>
      <c r="I135" s="14"/>
      <c r="J135" s="14"/>
      <c r="R135" s="14" t="e" cm="1">
        <f t="array" aca="1" ref="R135" ca="1">_xlfn.TEXTJOIN(",",TRUE,MID(SUBSTITUTE(SUBSTITUTE(SUBSTITUTE(SUBSTITUTE($Q135,"↑","1"),"↓","2"),"←","3"),"→","4"),ROW(INDIRECT("1:"&amp;LEN($Q135))),1))</f>
        <v>#REF!</v>
      </c>
      <c r="S135" s="14">
        <v>1</v>
      </c>
      <c r="Y135" s="14">
        <v>2</v>
      </c>
      <c r="Z135" s="14">
        <v>1</v>
      </c>
      <c r="AA135" s="14">
        <v>1</v>
      </c>
    </row>
    <row r="136" spans="1:27" x14ac:dyDescent="0.15">
      <c r="A136" s="15">
        <v>12073</v>
      </c>
      <c r="C136" s="14">
        <v>2</v>
      </c>
      <c r="H136" s="14" t="s">
        <v>496</v>
      </c>
      <c r="I136" s="14"/>
      <c r="J136" s="14"/>
      <c r="R136" s="14" t="e" cm="1">
        <f t="array" aca="1" ref="R136" ca="1">_xlfn.TEXTJOIN(",",TRUE,MID(SUBSTITUTE(SUBSTITUTE(SUBSTITUTE(SUBSTITUTE($Q136,"↑","1"),"↓","2"),"←","3"),"→","4"),ROW(INDIRECT("1:"&amp;LEN($Q136))),1))</f>
        <v>#REF!</v>
      </c>
      <c r="S136" s="14">
        <v>1</v>
      </c>
      <c r="Y136" s="14">
        <v>1</v>
      </c>
      <c r="Z136" s="14">
        <v>1</v>
      </c>
      <c r="AA136" s="14">
        <v>1</v>
      </c>
    </row>
    <row r="137" spans="1:27" ht="33" x14ac:dyDescent="0.15">
      <c r="A137" s="15">
        <v>12074</v>
      </c>
      <c r="B137" s="15" t="s">
        <v>497</v>
      </c>
      <c r="C137" s="14">
        <v>2</v>
      </c>
      <c r="H137" s="16" t="s">
        <v>498</v>
      </c>
      <c r="I137" s="14"/>
      <c r="J137" s="14" t="s">
        <v>499</v>
      </c>
      <c r="N137" s="16" t="s">
        <v>500</v>
      </c>
      <c r="R137" s="14" t="e" cm="1">
        <f t="array" aca="1" ref="R137" ca="1">_xlfn.TEXTJOIN(",",TRUE,MID(SUBSTITUTE(SUBSTITUTE(SUBSTITUTE(SUBSTITUTE($Q137,"↑","1"),"↓","2"),"←","3"),"→","4"),ROW(INDIRECT("1:"&amp;LEN($Q137))),1))</f>
        <v>#REF!</v>
      </c>
      <c r="S137" s="14">
        <v>1</v>
      </c>
      <c r="Y137" s="14">
        <v>1</v>
      </c>
      <c r="Z137" s="14">
        <v>1</v>
      </c>
      <c r="AA137" s="14">
        <v>0</v>
      </c>
    </row>
    <row r="138" spans="1:27" ht="33" x14ac:dyDescent="0.15">
      <c r="A138" s="15">
        <v>12075</v>
      </c>
      <c r="B138" s="15" t="s">
        <v>501</v>
      </c>
      <c r="C138" s="14">
        <v>2</v>
      </c>
      <c r="H138" s="16" t="s">
        <v>498</v>
      </c>
      <c r="I138" s="14"/>
      <c r="J138" s="14" t="s">
        <v>502</v>
      </c>
      <c r="N138" s="16" t="s">
        <v>500</v>
      </c>
      <c r="R138" s="14" t="e" cm="1">
        <f t="array" aca="1" ref="R138" ca="1">_xlfn.TEXTJOIN(",",TRUE,MID(SUBSTITUTE(SUBSTITUTE(SUBSTITUTE(SUBSTITUTE($Q138,"↑","1"),"↓","2"),"←","3"),"→","4"),ROW(INDIRECT("1:"&amp;LEN($Q138))),1))</f>
        <v>#REF!</v>
      </c>
      <c r="S138" s="14">
        <v>1</v>
      </c>
      <c r="Y138" s="14">
        <v>1</v>
      </c>
      <c r="Z138" s="14">
        <v>1</v>
      </c>
      <c r="AA138" s="14">
        <v>0</v>
      </c>
    </row>
    <row r="139" spans="1:27" x14ac:dyDescent="0.15">
      <c r="A139" s="15">
        <v>12076</v>
      </c>
      <c r="C139" s="14">
        <v>2</v>
      </c>
      <c r="H139" s="16" t="s">
        <v>503</v>
      </c>
      <c r="I139" s="14"/>
      <c r="J139" s="14"/>
      <c r="L139" s="14" t="s">
        <v>504</v>
      </c>
      <c r="Q139" s="14" t="s">
        <v>505</v>
      </c>
      <c r="R139" s="14" t="str" cm="1">
        <f t="array" aca="1" ref="R139" ca="1">_xlfn.TEXTJOIN(",",TRUE,MID(SUBSTITUTE(SUBSTITUTE(SUBSTITUTE(SUBSTITUTE($Q139,"↑","1"),"↓","2"),"←","3"),"→","4"),ROW(INDIRECT("1:"&amp;LEN($Q139))),1))</f>
        <v>3,4,3,4</v>
      </c>
      <c r="S139" s="14">
        <v>1</v>
      </c>
      <c r="T139" s="14" t="s">
        <v>51</v>
      </c>
      <c r="U139" s="14">
        <v>40</v>
      </c>
      <c r="V139" s="14">
        <v>20301</v>
      </c>
      <c r="W139" s="14" t="s">
        <v>57</v>
      </c>
      <c r="Y139" s="14">
        <v>1</v>
      </c>
      <c r="Z139" s="14">
        <v>1</v>
      </c>
      <c r="AA139" s="14">
        <v>1</v>
      </c>
    </row>
    <row r="140" spans="1:27" x14ac:dyDescent="0.15">
      <c r="A140" s="15">
        <v>12077</v>
      </c>
      <c r="C140" s="14">
        <v>2</v>
      </c>
      <c r="E140" s="16" t="s">
        <v>506</v>
      </c>
      <c r="H140" s="16" t="s">
        <v>507</v>
      </c>
      <c r="I140" s="14"/>
      <c r="J140" s="14"/>
      <c r="L140" s="16" t="s">
        <v>408</v>
      </c>
      <c r="N140" s="16" t="s">
        <v>508</v>
      </c>
      <c r="P140" s="14">
        <v>3</v>
      </c>
      <c r="Q140" s="14" t="s">
        <v>280</v>
      </c>
      <c r="R140" s="14" t="str" cm="1">
        <f t="array" aca="1" ref="R140" ca="1">_xlfn.TEXTJOIN(",",TRUE,MID(SUBSTITUTE(SUBSTITUTE(SUBSTITUTE(SUBSTITUTE($Q140,"↑","1"),"↓","2"),"←","3"),"→","4"),ROW(INDIRECT("1:"&amp;LEN($Q140))),1))</f>
        <v>2,4,3</v>
      </c>
      <c r="S140" s="14">
        <v>1</v>
      </c>
      <c r="T140" s="14" t="s">
        <v>51</v>
      </c>
      <c r="U140" s="14">
        <v>25</v>
      </c>
      <c r="V140" s="14">
        <v>20401</v>
      </c>
      <c r="W140" s="14" t="s">
        <v>227</v>
      </c>
      <c r="Y140" s="14">
        <v>2</v>
      </c>
      <c r="Z140" s="14">
        <v>1</v>
      </c>
      <c r="AA140" s="14">
        <v>1</v>
      </c>
    </row>
    <row r="141" spans="1:27" x14ac:dyDescent="0.15">
      <c r="A141" s="15">
        <v>12078</v>
      </c>
      <c r="C141" s="14">
        <v>2</v>
      </c>
      <c r="E141" s="16" t="s">
        <v>404</v>
      </c>
      <c r="H141" s="14" t="s">
        <v>509</v>
      </c>
      <c r="I141" s="14"/>
      <c r="J141" s="14"/>
      <c r="N141" s="16" t="s">
        <v>76</v>
      </c>
      <c r="P141" s="14">
        <v>1</v>
      </c>
      <c r="Q141" s="14" t="s">
        <v>365</v>
      </c>
      <c r="R141" s="14" t="str" cm="1">
        <f t="array" aca="1" ref="R141" ca="1">_xlfn.TEXTJOIN(",",TRUE,MID(SUBSTITUTE(SUBSTITUTE(SUBSTITUTE(SUBSTITUTE($Q141,"↑","1"),"↓","2"),"←","3"),"→","4"),ROW(INDIRECT("1:"&amp;LEN($Q141))),1))</f>
        <v>3,4</v>
      </c>
      <c r="S141" s="14">
        <v>1</v>
      </c>
      <c r="T141" s="14" t="s">
        <v>51</v>
      </c>
      <c r="U141" s="14">
        <v>15</v>
      </c>
      <c r="V141" s="14">
        <v>20401</v>
      </c>
      <c r="W141" s="14" t="s">
        <v>227</v>
      </c>
      <c r="Y141" s="14">
        <v>2</v>
      </c>
      <c r="Z141" s="14">
        <v>1</v>
      </c>
      <c r="AA141" s="14">
        <v>1</v>
      </c>
    </row>
    <row r="142" spans="1:27" ht="33" x14ac:dyDescent="0.15">
      <c r="H142" s="16" t="s">
        <v>510</v>
      </c>
      <c r="I142" s="14"/>
      <c r="J142" s="14"/>
      <c r="L142" s="16" t="s">
        <v>511</v>
      </c>
      <c r="N142" s="16" t="s">
        <v>512</v>
      </c>
      <c r="O142" s="14">
        <v>7</v>
      </c>
      <c r="S142" s="14">
        <v>1</v>
      </c>
      <c r="T142" s="14" t="s">
        <v>51</v>
      </c>
      <c r="U142" s="14">
        <v>55</v>
      </c>
      <c r="V142" s="14">
        <v>20507</v>
      </c>
      <c r="W142" s="14" t="s">
        <v>442</v>
      </c>
      <c r="Y142" s="14">
        <v>7</v>
      </c>
      <c r="Z142" s="14">
        <v>1</v>
      </c>
      <c r="AA142" s="14">
        <v>0</v>
      </c>
    </row>
    <row r="143" spans="1:27" x14ac:dyDescent="0.15">
      <c r="H143" s="14"/>
      <c r="I143" s="14"/>
      <c r="J143" s="14"/>
    </row>
    <row r="144" spans="1:27" x14ac:dyDescent="0.15">
      <c r="A144" s="15">
        <v>13001</v>
      </c>
      <c r="B144" s="20" t="s">
        <v>513</v>
      </c>
      <c r="C144" s="14">
        <v>3</v>
      </c>
      <c r="H144" s="14" t="s">
        <v>514</v>
      </c>
      <c r="I144" s="14"/>
      <c r="J144" s="14"/>
      <c r="L144" s="16" t="s">
        <v>450</v>
      </c>
      <c r="O144" s="14">
        <v>1</v>
      </c>
      <c r="P144" s="14">
        <v>2</v>
      </c>
      <c r="Q144" s="14" t="s">
        <v>255</v>
      </c>
      <c r="R144" s="14" t="str" cm="1">
        <f t="array" aca="1" ref="R144" ca="1">_xlfn.TEXTJOIN(",",TRUE,MID(SUBSTITUTE(SUBSTITUTE(SUBSTITUTE(SUBSTITUTE($Q144,"↑","1"),"↓","2"),"←","3"),"→","4"),ROW(INDIRECT("1:"&amp;LEN($Q144))),1))</f>
        <v>4,1</v>
      </c>
      <c r="S144" s="14">
        <v>1</v>
      </c>
      <c r="T144" s="14">
        <v>10</v>
      </c>
      <c r="U144" s="14" t="s">
        <v>51</v>
      </c>
      <c r="V144" s="14">
        <v>20101</v>
      </c>
      <c r="W144" s="14" t="s">
        <v>71</v>
      </c>
      <c r="Y144" s="14">
        <v>1</v>
      </c>
      <c r="Z144" s="14">
        <v>1</v>
      </c>
      <c r="AA144" s="14">
        <v>1</v>
      </c>
    </row>
    <row r="145" spans="1:27" x14ac:dyDescent="0.15">
      <c r="A145" s="15">
        <v>13002</v>
      </c>
      <c r="B145" s="20" t="s">
        <v>515</v>
      </c>
      <c r="C145" s="14">
        <v>3</v>
      </c>
      <c r="H145" s="14" t="s">
        <v>516</v>
      </c>
      <c r="I145" s="14"/>
      <c r="J145" s="14"/>
      <c r="L145" s="16" t="s">
        <v>517</v>
      </c>
      <c r="O145" s="14">
        <v>1</v>
      </c>
      <c r="P145" s="14">
        <v>4</v>
      </c>
      <c r="Q145" s="14" t="s">
        <v>259</v>
      </c>
      <c r="R145" s="14" t="str" cm="1">
        <f t="array" aca="1" ref="R145" ca="1">_xlfn.TEXTJOIN(",",TRUE,MID(SUBSTITUTE(SUBSTITUTE(SUBSTITUTE(SUBSTITUTE($Q145,"↑","1"),"↓","2"),"←","3"),"→","4"),ROW(INDIRECT("1:"&amp;LEN($Q145))),1))</f>
        <v>4,1,2</v>
      </c>
      <c r="S145" s="14">
        <v>1</v>
      </c>
      <c r="T145" s="14">
        <v>30</v>
      </c>
      <c r="U145" s="14" t="s">
        <v>51</v>
      </c>
      <c r="V145" s="14">
        <v>20101</v>
      </c>
      <c r="W145" s="14" t="s">
        <v>71</v>
      </c>
      <c r="Y145" s="14">
        <v>1</v>
      </c>
      <c r="Z145" s="14">
        <v>1</v>
      </c>
      <c r="AA145" s="14">
        <v>1</v>
      </c>
    </row>
    <row r="146" spans="1:27" x14ac:dyDescent="0.15">
      <c r="A146" s="15">
        <v>13003</v>
      </c>
      <c r="B146" s="20" t="s">
        <v>518</v>
      </c>
      <c r="C146" s="14">
        <v>3</v>
      </c>
      <c r="H146" s="14" t="s">
        <v>519</v>
      </c>
      <c r="I146" s="14"/>
      <c r="J146" s="14"/>
      <c r="L146" s="16" t="s">
        <v>520</v>
      </c>
      <c r="O146" s="14">
        <v>1</v>
      </c>
      <c r="P146" s="14">
        <v>6</v>
      </c>
      <c r="Q146" s="14" t="s">
        <v>263</v>
      </c>
      <c r="R146" s="14" t="str" cm="1">
        <f t="array" aca="1" ref="R146" ca="1">_xlfn.TEXTJOIN(",",TRUE,MID(SUBSTITUTE(SUBSTITUTE(SUBSTITUTE(SUBSTITUTE($Q146,"↑","1"),"↓","2"),"←","3"),"→","4"),ROW(INDIRECT("1:"&amp;LEN($Q146))),1))</f>
        <v>4,1,2,2</v>
      </c>
      <c r="S146" s="14">
        <v>1</v>
      </c>
      <c r="T146" s="14">
        <v>90</v>
      </c>
      <c r="U146" s="14" t="s">
        <v>51</v>
      </c>
      <c r="V146" s="14">
        <v>20101</v>
      </c>
      <c r="W146" s="14" t="s">
        <v>71</v>
      </c>
      <c r="Y146" s="14">
        <v>1</v>
      </c>
      <c r="Z146" s="14">
        <v>1</v>
      </c>
      <c r="AA146" s="14">
        <v>1</v>
      </c>
    </row>
    <row r="147" spans="1:27" x14ac:dyDescent="0.15">
      <c r="A147" s="15">
        <v>13004</v>
      </c>
      <c r="B147" s="20" t="s">
        <v>521</v>
      </c>
      <c r="C147" s="14">
        <v>3</v>
      </c>
      <c r="E147" s="16" t="s">
        <v>522</v>
      </c>
      <c r="H147" s="14" t="s">
        <v>514</v>
      </c>
      <c r="I147" s="14"/>
      <c r="J147" s="14"/>
      <c r="L147" s="16" t="s">
        <v>523</v>
      </c>
      <c r="O147" s="14">
        <v>1</v>
      </c>
      <c r="P147" s="14">
        <v>6</v>
      </c>
      <c r="Q147" s="14" t="s">
        <v>267</v>
      </c>
      <c r="R147" s="14" t="str" cm="1">
        <f t="array" aca="1" ref="R147" ca="1">_xlfn.TEXTJOIN(",",TRUE,MID(SUBSTITUTE(SUBSTITUTE(SUBSTITUTE(SUBSTITUTE($Q147,"↑","1"),"↓","2"),"←","3"),"→","4"),ROW(INDIRECT("1:"&amp;LEN($Q147))),1))</f>
        <v>1,3</v>
      </c>
      <c r="S147" s="14">
        <v>1</v>
      </c>
      <c r="T147" s="14">
        <v>9</v>
      </c>
      <c r="U147" s="14" t="s">
        <v>51</v>
      </c>
      <c r="V147" s="14">
        <v>20101</v>
      </c>
      <c r="W147" s="14" t="s">
        <v>71</v>
      </c>
      <c r="Y147" s="14">
        <v>1</v>
      </c>
      <c r="Z147" s="14">
        <v>1</v>
      </c>
      <c r="AA147" s="14">
        <v>1</v>
      </c>
    </row>
    <row r="148" spans="1:27" x14ac:dyDescent="0.15">
      <c r="A148" s="15">
        <v>13005</v>
      </c>
      <c r="B148" s="20" t="s">
        <v>524</v>
      </c>
      <c r="C148" s="14">
        <v>3</v>
      </c>
      <c r="E148" s="16" t="s">
        <v>525</v>
      </c>
      <c r="H148" s="14" t="s">
        <v>526</v>
      </c>
      <c r="I148" s="14"/>
      <c r="J148" s="14"/>
      <c r="L148" s="16" t="s">
        <v>527</v>
      </c>
      <c r="O148" s="14">
        <v>1</v>
      </c>
      <c r="P148" s="14">
        <v>5</v>
      </c>
      <c r="Q148" s="14" t="s">
        <v>272</v>
      </c>
      <c r="R148" s="14" t="str" cm="1">
        <f t="array" aca="1" ref="R148" ca="1">_xlfn.TEXTJOIN(",",TRUE,MID(SUBSTITUTE(SUBSTITUTE(SUBSTITUTE(SUBSTITUTE($Q148,"↑","1"),"↓","2"),"←","3"),"→","4"),ROW(INDIRECT("1:"&amp;LEN($Q148))),1))</f>
        <v>1,3,4</v>
      </c>
      <c r="S148" s="14">
        <v>1</v>
      </c>
      <c r="T148" s="14">
        <v>20</v>
      </c>
      <c r="U148" s="14" t="s">
        <v>51</v>
      </c>
      <c r="V148" s="14">
        <v>20101</v>
      </c>
      <c r="W148" s="14" t="s">
        <v>71</v>
      </c>
      <c r="Y148" s="14">
        <v>1</v>
      </c>
      <c r="Z148" s="14">
        <v>1</v>
      </c>
      <c r="AA148" s="14">
        <v>1</v>
      </c>
    </row>
    <row r="149" spans="1:27" x14ac:dyDescent="0.15">
      <c r="A149" s="15">
        <v>13006</v>
      </c>
      <c r="B149" s="20" t="s">
        <v>528</v>
      </c>
      <c r="C149" s="14">
        <v>3</v>
      </c>
      <c r="E149" s="16" t="s">
        <v>529</v>
      </c>
      <c r="H149" s="14" t="s">
        <v>530</v>
      </c>
      <c r="I149" s="14"/>
      <c r="J149" s="14"/>
      <c r="L149" s="16" t="s">
        <v>531</v>
      </c>
      <c r="O149" s="14">
        <v>1</v>
      </c>
      <c r="P149" s="14">
        <v>4</v>
      </c>
      <c r="Q149" s="14" t="s">
        <v>277</v>
      </c>
      <c r="R149" s="14" t="str" cm="1">
        <f t="array" aca="1" ref="R149" ca="1">_xlfn.TEXTJOIN(",",TRUE,MID(SUBSTITUTE(SUBSTITUTE(SUBSTITUTE(SUBSTITUTE($Q149,"↑","1"),"↓","2"),"←","3"),"→","4"),ROW(INDIRECT("1:"&amp;LEN($Q149))),1))</f>
        <v>1,3,4,4</v>
      </c>
      <c r="S149" s="14">
        <v>1</v>
      </c>
      <c r="T149" s="14">
        <v>49</v>
      </c>
      <c r="U149" s="14" t="s">
        <v>51</v>
      </c>
      <c r="V149" s="14">
        <v>20101</v>
      </c>
      <c r="W149" s="14" t="s">
        <v>71</v>
      </c>
      <c r="Y149" s="14">
        <v>1</v>
      </c>
      <c r="Z149" s="14">
        <v>1</v>
      </c>
      <c r="AA149" s="14">
        <v>1</v>
      </c>
    </row>
    <row r="150" spans="1:27" x14ac:dyDescent="0.15">
      <c r="A150" s="15">
        <v>13007</v>
      </c>
      <c r="B150" s="15" t="s">
        <v>532</v>
      </c>
      <c r="C150" s="14">
        <v>3</v>
      </c>
      <c r="E150" s="14" t="s">
        <v>533</v>
      </c>
      <c r="F150" s="14"/>
      <c r="G150" s="14"/>
      <c r="H150" s="14" t="s">
        <v>526</v>
      </c>
      <c r="I150" s="14"/>
      <c r="J150" s="14"/>
      <c r="L150" s="16" t="s">
        <v>382</v>
      </c>
      <c r="O150" s="14">
        <v>5</v>
      </c>
      <c r="P150" s="14">
        <v>4</v>
      </c>
      <c r="Q150" s="14" t="s">
        <v>318</v>
      </c>
      <c r="R150" s="14" t="str" cm="1">
        <f t="array" aca="1" ref="R150" ca="1">_xlfn.TEXTJOIN(",",TRUE,MID(SUBSTITUTE(SUBSTITUTE(SUBSTITUTE(SUBSTITUTE($Q150,"↑","1"),"↓","2"),"←","3"),"→","4"),ROW(INDIRECT("1:"&amp;LEN($Q150))),1))</f>
        <v>4,1,4</v>
      </c>
      <c r="S150" s="14">
        <v>1</v>
      </c>
      <c r="T150" s="14">
        <v>25</v>
      </c>
      <c r="U150" s="14" t="s">
        <v>51</v>
      </c>
      <c r="V150" s="14">
        <v>20201</v>
      </c>
      <c r="W150" s="14" t="s">
        <v>61</v>
      </c>
      <c r="Y150" s="14">
        <v>1</v>
      </c>
      <c r="Z150" s="14">
        <v>1</v>
      </c>
      <c r="AA150" s="14">
        <v>1</v>
      </c>
    </row>
    <row r="151" spans="1:27" ht="33" x14ac:dyDescent="0.15">
      <c r="A151" s="15">
        <v>13008</v>
      </c>
      <c r="B151" s="20" t="s">
        <v>534</v>
      </c>
      <c r="C151" s="14">
        <v>3</v>
      </c>
      <c r="E151" s="16" t="s">
        <v>535</v>
      </c>
      <c r="G151" s="16" t="s">
        <v>536</v>
      </c>
      <c r="H151" s="14" t="s">
        <v>516</v>
      </c>
      <c r="I151" s="14"/>
      <c r="J151" s="14"/>
      <c r="N151" s="16" t="s">
        <v>76</v>
      </c>
      <c r="O151" s="14">
        <v>2</v>
      </c>
      <c r="P151" s="14">
        <v>4</v>
      </c>
      <c r="Q151" s="14" t="s">
        <v>537</v>
      </c>
      <c r="R151" s="14" t="str" cm="1">
        <f t="array" aca="1" ref="R151" ca="1">_xlfn.TEXTJOIN(",",TRUE,MID(SUBSTITUTE(SUBSTITUTE(SUBSTITUTE(SUBSTITUTE($Q151,"↑","1"),"↓","2"),"←","3"),"→","4"),ROW(INDIRECT("1:"&amp;LEN($Q151))),1))</f>
        <v>4,4,3</v>
      </c>
      <c r="S151" s="14">
        <v>1</v>
      </c>
      <c r="T151" s="14">
        <v>50</v>
      </c>
      <c r="U151" s="14" t="s">
        <v>51</v>
      </c>
      <c r="V151" s="14">
        <v>20201</v>
      </c>
      <c r="W151" s="14" t="s">
        <v>61</v>
      </c>
      <c r="Y151" s="14">
        <v>1</v>
      </c>
      <c r="Z151" s="14">
        <v>1</v>
      </c>
      <c r="AA151" s="14">
        <v>1</v>
      </c>
    </row>
    <row r="152" spans="1:27" x14ac:dyDescent="0.15">
      <c r="A152" s="15">
        <v>13009</v>
      </c>
      <c r="B152" s="20" t="s">
        <v>538</v>
      </c>
      <c r="C152" s="14">
        <v>3</v>
      </c>
      <c r="H152" s="14" t="s">
        <v>514</v>
      </c>
      <c r="I152" s="14"/>
      <c r="J152" s="14"/>
      <c r="L152" s="16" t="s">
        <v>359</v>
      </c>
      <c r="O152" s="14">
        <v>1</v>
      </c>
      <c r="P152" s="14">
        <v>4</v>
      </c>
      <c r="Q152" s="14" t="s">
        <v>539</v>
      </c>
      <c r="R152" s="14" t="str" cm="1">
        <f t="array" aca="1" ref="R152" ca="1">_xlfn.TEXTJOIN(",",TRUE,MID(SUBSTITUTE(SUBSTITUTE(SUBSTITUTE(SUBSTITUTE($Q152,"↑","1"),"↓","2"),"←","3"),"→","4"),ROW(INDIRECT("1:"&amp;LEN($Q152))),1))</f>
        <v>4,4,4,4</v>
      </c>
      <c r="S152" s="14">
        <v>1</v>
      </c>
      <c r="T152" s="14">
        <v>30</v>
      </c>
      <c r="U152" s="14" t="s">
        <v>51</v>
      </c>
      <c r="V152" s="14">
        <v>20202</v>
      </c>
      <c r="W152" s="14" t="s">
        <v>52</v>
      </c>
      <c r="Y152" s="14">
        <v>1</v>
      </c>
      <c r="Z152" s="14">
        <v>1</v>
      </c>
      <c r="AA152" s="14">
        <v>1</v>
      </c>
    </row>
    <row r="153" spans="1:27" x14ac:dyDescent="0.15">
      <c r="A153" s="15">
        <v>13010</v>
      </c>
      <c r="B153" s="20" t="s">
        <v>540</v>
      </c>
      <c r="C153" s="14">
        <v>3</v>
      </c>
      <c r="H153" s="14" t="s">
        <v>514</v>
      </c>
      <c r="I153" s="14"/>
      <c r="J153" s="14"/>
      <c r="L153" s="16" t="s">
        <v>541</v>
      </c>
      <c r="O153" s="14">
        <v>1</v>
      </c>
      <c r="P153" s="14">
        <v>5</v>
      </c>
      <c r="Q153" s="14" t="s">
        <v>542</v>
      </c>
      <c r="R153" s="14" t="str" cm="1">
        <f t="array" aca="1" ref="R153" ca="1">_xlfn.TEXTJOIN(",",TRUE,MID(SUBSTITUTE(SUBSTITUTE(SUBSTITUTE(SUBSTITUTE($Q153,"↑","1"),"↓","2"),"←","3"),"→","4"),ROW(INDIRECT("1:"&amp;LEN($Q153))),1))</f>
        <v>1,4,3</v>
      </c>
      <c r="S153" s="14">
        <v>1</v>
      </c>
      <c r="T153" s="14">
        <v>20</v>
      </c>
      <c r="U153" s="14" t="s">
        <v>51</v>
      </c>
      <c r="V153" s="14">
        <v>20202</v>
      </c>
      <c r="W153" s="14" t="s">
        <v>52</v>
      </c>
      <c r="Y153" s="14">
        <v>1</v>
      </c>
      <c r="Z153" s="14">
        <v>1</v>
      </c>
      <c r="AA153" s="14">
        <v>1</v>
      </c>
    </row>
    <row r="154" spans="1:27" x14ac:dyDescent="0.15">
      <c r="A154" s="15">
        <v>13011</v>
      </c>
      <c r="B154" s="15" t="s">
        <v>543</v>
      </c>
      <c r="C154" s="14">
        <v>3</v>
      </c>
      <c r="E154" s="16" t="s">
        <v>1073</v>
      </c>
      <c r="G154" s="16" t="s">
        <v>169</v>
      </c>
      <c r="H154" s="14" t="s">
        <v>544</v>
      </c>
      <c r="I154" s="14"/>
      <c r="J154" s="14"/>
      <c r="O154" s="14">
        <v>4</v>
      </c>
      <c r="P154" s="14">
        <v>6</v>
      </c>
      <c r="Q154" s="14" t="s">
        <v>545</v>
      </c>
      <c r="R154" s="14" t="str" cm="1">
        <f t="array" aca="1" ref="R154" ca="1">_xlfn.TEXTJOIN(",",TRUE,MID(SUBSTITUTE(SUBSTITUTE(SUBSTITUTE(SUBSTITUTE($Q154,"↑","1"),"↓","2"),"←","3"),"→","4"),ROW(INDIRECT("1:"&amp;LEN($Q154))),1))</f>
        <v>4,3,1,4</v>
      </c>
      <c r="S154" s="14">
        <v>1</v>
      </c>
      <c r="T154" s="14">
        <v>25</v>
      </c>
      <c r="U154" s="14" t="s">
        <v>51</v>
      </c>
      <c r="V154" s="14">
        <v>20401</v>
      </c>
      <c r="W154" s="14" t="s">
        <v>227</v>
      </c>
      <c r="Y154" s="14">
        <v>1</v>
      </c>
      <c r="Z154" s="14">
        <v>1</v>
      </c>
      <c r="AA154" s="14">
        <v>1</v>
      </c>
    </row>
    <row r="155" spans="1:27" ht="33" x14ac:dyDescent="0.15">
      <c r="A155" s="15">
        <v>13012</v>
      </c>
      <c r="B155" s="15" t="s">
        <v>546</v>
      </c>
      <c r="C155" s="14">
        <v>3</v>
      </c>
      <c r="H155" s="16" t="s">
        <v>547</v>
      </c>
      <c r="L155" s="16" t="s">
        <v>548</v>
      </c>
      <c r="O155" s="14">
        <v>1</v>
      </c>
      <c r="P155" s="14">
        <v>999</v>
      </c>
      <c r="R155" s="14" t="e" cm="1">
        <f t="array" aca="1" ref="R155" ca="1">_xlfn.TEXTJOIN(",",TRUE,MID(SUBSTITUTE(SUBSTITUTE(SUBSTITUTE(SUBSTITUTE($Q155,"↑","1"),"↓","2"),"←","3"),"→","4"),ROW(INDIRECT("1:"&amp;LEN($Q155))),1))</f>
        <v>#REF!</v>
      </c>
      <c r="S155" s="14">
        <v>1</v>
      </c>
      <c r="T155" s="14">
        <v>25</v>
      </c>
      <c r="U155" s="14" t="s">
        <v>51</v>
      </c>
      <c r="V155" s="14">
        <v>20001</v>
      </c>
      <c r="W155" s="14" t="s">
        <v>135</v>
      </c>
      <c r="Y155" s="14">
        <v>1</v>
      </c>
      <c r="Z155" s="14">
        <v>1</v>
      </c>
      <c r="AA155" s="14">
        <v>0</v>
      </c>
    </row>
    <row r="156" spans="1:27" ht="33" x14ac:dyDescent="0.15">
      <c r="A156" s="15">
        <v>13013</v>
      </c>
      <c r="B156" s="20" t="s">
        <v>549</v>
      </c>
      <c r="C156" s="14">
        <v>3</v>
      </c>
      <c r="E156" s="14" t="s">
        <v>550</v>
      </c>
      <c r="F156" s="14"/>
      <c r="G156" s="14"/>
      <c r="H156" s="16" t="s">
        <v>551</v>
      </c>
      <c r="N156" s="16" t="s">
        <v>76</v>
      </c>
      <c r="O156" s="14">
        <v>1</v>
      </c>
      <c r="P156" s="14">
        <v>6</v>
      </c>
      <c r="Q156" s="14" t="s">
        <v>552</v>
      </c>
      <c r="R156" s="14" t="str" cm="1">
        <f t="array" aca="1" ref="R156" ca="1">_xlfn.TEXTJOIN(",",TRUE,MID(SUBSTITUTE(SUBSTITUTE(SUBSTITUTE(SUBSTITUTE($Q156,"↑","1"),"↓","2"),"←","3"),"→","4"),ROW(INDIRECT("1:"&amp;LEN($Q156))),1))</f>
        <v>4,3,1,2</v>
      </c>
      <c r="S156" s="14">
        <v>1</v>
      </c>
      <c r="T156" s="14">
        <v>50</v>
      </c>
      <c r="U156" s="14" t="s">
        <v>51</v>
      </c>
      <c r="V156" s="14">
        <v>20301</v>
      </c>
      <c r="W156" s="14" t="s">
        <v>57</v>
      </c>
      <c r="Y156" s="14">
        <v>1</v>
      </c>
      <c r="Z156" s="14">
        <v>1</v>
      </c>
      <c r="AA156" s="14">
        <v>1</v>
      </c>
    </row>
    <row r="157" spans="1:27" x14ac:dyDescent="0.15">
      <c r="A157" s="15">
        <v>13014</v>
      </c>
      <c r="B157" s="20" t="s">
        <v>553</v>
      </c>
      <c r="C157" s="14">
        <v>3</v>
      </c>
      <c r="E157" s="14" t="s">
        <v>554</v>
      </c>
      <c r="F157" s="14"/>
      <c r="G157" s="14"/>
      <c r="H157" s="14" t="s">
        <v>516</v>
      </c>
      <c r="I157" s="14"/>
      <c r="J157" s="14"/>
      <c r="N157" s="16" t="s">
        <v>76</v>
      </c>
      <c r="P157" s="14">
        <v>6</v>
      </c>
      <c r="R157" s="14" t="e" cm="1">
        <f t="array" aca="1" ref="R157" ca="1">_xlfn.TEXTJOIN(",",TRUE,MID(SUBSTITUTE(SUBSTITUTE(SUBSTITUTE(SUBSTITUTE($Q157,"↑","1"),"↓","2"),"←","3"),"→","4"),ROW(INDIRECT("1:"&amp;LEN($Q157))),1))</f>
        <v>#REF!</v>
      </c>
      <c r="S157" s="14">
        <v>1</v>
      </c>
      <c r="T157" s="14">
        <v>40</v>
      </c>
      <c r="V157" s="14">
        <v>20301</v>
      </c>
      <c r="W157" s="14" t="s">
        <v>57</v>
      </c>
      <c r="Y157" s="14">
        <v>1</v>
      </c>
      <c r="Z157" s="14">
        <v>1</v>
      </c>
      <c r="AA157" s="14">
        <v>1</v>
      </c>
    </row>
    <row r="158" spans="1:27" x14ac:dyDescent="0.15">
      <c r="A158" s="15">
        <v>13015</v>
      </c>
      <c r="B158" s="20" t="s">
        <v>555</v>
      </c>
      <c r="C158" s="14">
        <v>3</v>
      </c>
      <c r="H158" s="16" t="s">
        <v>556</v>
      </c>
      <c r="P158" s="14">
        <v>14</v>
      </c>
      <c r="Q158" s="14" t="s">
        <v>56</v>
      </c>
      <c r="R158" s="14" t="str" cm="1">
        <f t="array" aca="1" ref="R158" ca="1">_xlfn.TEXTJOIN(",",TRUE,MID(SUBSTITUTE(SUBSTITUTE(SUBSTITUTE(SUBSTITUTE($Q158,"↑","1"),"↓","2"),"←","3"),"→","4"),ROW(INDIRECT("1:"&amp;LEN($Q158))),1))</f>
        <v>3,3</v>
      </c>
      <c r="S158" s="14">
        <v>1</v>
      </c>
      <c r="T158" s="14">
        <v>60</v>
      </c>
      <c r="V158" s="14">
        <v>20504</v>
      </c>
      <c r="W158" s="14" t="s">
        <v>557</v>
      </c>
      <c r="Y158" s="14">
        <v>1</v>
      </c>
      <c r="Z158" s="14">
        <v>1</v>
      </c>
      <c r="AA158" s="14">
        <v>1</v>
      </c>
    </row>
    <row r="159" spans="1:27" x14ac:dyDescent="0.15">
      <c r="A159" s="15">
        <v>13016</v>
      </c>
      <c r="B159" s="20" t="s">
        <v>558</v>
      </c>
      <c r="C159" s="14">
        <v>3</v>
      </c>
      <c r="E159" s="16" t="s">
        <v>108</v>
      </c>
      <c r="H159" s="16" t="s">
        <v>109</v>
      </c>
      <c r="O159" s="14">
        <v>1</v>
      </c>
      <c r="P159" s="14">
        <v>0</v>
      </c>
      <c r="Q159" s="14" t="s">
        <v>559</v>
      </c>
      <c r="R159" s="14" t="str" cm="1">
        <f t="array" aca="1" ref="R159" ca="1">_xlfn.TEXTJOIN(",",TRUE,MID(SUBSTITUTE(SUBSTITUTE(SUBSTITUTE(SUBSTITUTE($Q159,"↑","1"),"↓","2"),"←","3"),"→","4"),ROW(INDIRECT("1:"&amp;LEN($Q159))),1))</f>
        <v>1</v>
      </c>
      <c r="S159" s="14">
        <v>1</v>
      </c>
      <c r="V159" s="14">
        <v>20101</v>
      </c>
      <c r="W159" s="14" t="s">
        <v>71</v>
      </c>
      <c r="Y159" s="14">
        <v>1</v>
      </c>
      <c r="Z159" s="14">
        <v>1</v>
      </c>
      <c r="AA159" s="14">
        <v>1</v>
      </c>
    </row>
    <row r="160" spans="1:27" x14ac:dyDescent="0.15">
      <c r="A160" s="15">
        <v>13017</v>
      </c>
      <c r="B160" s="20" t="s">
        <v>560</v>
      </c>
      <c r="C160" s="14">
        <v>3</v>
      </c>
      <c r="H160" s="14" t="s">
        <v>561</v>
      </c>
      <c r="I160" s="14"/>
      <c r="J160" s="14"/>
      <c r="R160" s="14" t="e" cm="1">
        <f t="array" aca="1" ref="R160" ca="1">_xlfn.TEXTJOIN(",",TRUE,MID(SUBSTITUTE(SUBSTITUTE(SUBSTITUTE(SUBSTITUTE($Q160,"↑","1"),"↓","2"),"←","3"),"→","4"),ROW(INDIRECT("1:"&amp;LEN($Q160))),1))</f>
        <v>#REF!</v>
      </c>
      <c r="S160" s="14">
        <v>1</v>
      </c>
      <c r="T160" s="14">
        <v>20</v>
      </c>
      <c r="V160" s="14">
        <v>20401</v>
      </c>
      <c r="W160" s="14" t="s">
        <v>227</v>
      </c>
      <c r="Y160" s="14">
        <v>1</v>
      </c>
      <c r="Z160" s="14">
        <v>1</v>
      </c>
      <c r="AA160" s="14">
        <v>1</v>
      </c>
    </row>
    <row r="161" spans="1:27" x14ac:dyDescent="0.15">
      <c r="A161" s="15">
        <v>13018</v>
      </c>
      <c r="B161" s="20" t="s">
        <v>562</v>
      </c>
      <c r="C161" s="14">
        <v>3</v>
      </c>
      <c r="H161" s="16" t="s">
        <v>563</v>
      </c>
      <c r="L161" s="16" t="s">
        <v>195</v>
      </c>
      <c r="O161" s="14">
        <v>6</v>
      </c>
      <c r="R161" s="14" t="e" cm="1">
        <f t="array" aca="1" ref="R161" ca="1">_xlfn.TEXTJOIN(",",TRUE,MID(SUBSTITUTE(SUBSTITUTE(SUBSTITUTE(SUBSTITUTE($Q161,"↑","1"),"↓","2"),"←","3"),"→","4"),ROW(INDIRECT("1:"&amp;LEN($Q161))),1))</f>
        <v>#REF!</v>
      </c>
      <c r="S161" s="14">
        <v>1</v>
      </c>
      <c r="T161" s="14">
        <v>40</v>
      </c>
      <c r="V161" s="14">
        <v>20402</v>
      </c>
      <c r="W161" s="14" t="s">
        <v>564</v>
      </c>
      <c r="Y161" s="14">
        <v>1</v>
      </c>
      <c r="Z161" s="14">
        <v>1</v>
      </c>
      <c r="AA161" s="14">
        <v>1</v>
      </c>
    </row>
    <row r="162" spans="1:27" x14ac:dyDescent="0.15">
      <c r="A162" s="15">
        <v>13019</v>
      </c>
      <c r="B162" s="15" t="s">
        <v>565</v>
      </c>
      <c r="C162" s="14">
        <v>3</v>
      </c>
      <c r="H162" s="16" t="s">
        <v>566</v>
      </c>
      <c r="O162" s="14">
        <v>5</v>
      </c>
      <c r="R162" s="14" t="e" cm="1">
        <f t="array" aca="1" ref="R162" ca="1">_xlfn.TEXTJOIN(",",TRUE,MID(SUBSTITUTE(SUBSTITUTE(SUBSTITUTE(SUBSTITUTE($Q162,"↑","1"),"↓","2"),"←","3"),"→","4"),ROW(INDIRECT("1:"&amp;LEN($Q162))),1))</f>
        <v>#REF!</v>
      </c>
      <c r="S162" s="14">
        <v>1</v>
      </c>
      <c r="V162" s="14">
        <v>20402</v>
      </c>
      <c r="W162" s="14" t="s">
        <v>567</v>
      </c>
      <c r="Y162" s="14">
        <v>1</v>
      </c>
      <c r="Z162" s="14">
        <v>1</v>
      </c>
      <c r="AA162" s="14">
        <v>1</v>
      </c>
    </row>
    <row r="163" spans="1:27" ht="33" x14ac:dyDescent="0.15">
      <c r="A163" s="15">
        <v>13020</v>
      </c>
      <c r="B163" s="15" t="s">
        <v>568</v>
      </c>
      <c r="C163" s="14">
        <v>3</v>
      </c>
      <c r="H163" s="16" t="s">
        <v>563</v>
      </c>
      <c r="J163" s="16" t="s">
        <v>569</v>
      </c>
      <c r="R163" s="14" t="e" cm="1">
        <f t="array" aca="1" ref="R163" ca="1">_xlfn.TEXTJOIN(",",TRUE,MID(SUBSTITUTE(SUBSTITUTE(SUBSTITUTE(SUBSTITUTE($Q163,"↑","1"),"↓","2"),"←","3"),"→","4"),ROW(INDIRECT("1:"&amp;LEN($Q163))),1))</f>
        <v>#REF!</v>
      </c>
      <c r="S163" s="14">
        <v>1</v>
      </c>
      <c r="V163" s="14">
        <v>20601</v>
      </c>
      <c r="W163" s="14" t="s">
        <v>570</v>
      </c>
      <c r="Y163" s="14">
        <v>1</v>
      </c>
      <c r="Z163" s="14">
        <v>1</v>
      </c>
      <c r="AA163" s="14">
        <v>1</v>
      </c>
    </row>
    <row r="164" spans="1:27" ht="33" x14ac:dyDescent="0.15">
      <c r="A164" s="15">
        <v>13021</v>
      </c>
      <c r="B164" s="20" t="s">
        <v>571</v>
      </c>
      <c r="C164" s="14">
        <v>3</v>
      </c>
      <c r="G164" s="16" t="s">
        <v>1088</v>
      </c>
      <c r="H164" s="16" t="s">
        <v>572</v>
      </c>
      <c r="N164" s="16" t="s">
        <v>573</v>
      </c>
      <c r="R164" s="14" t="e" cm="1">
        <f t="array" aca="1" ref="R164" ca="1">_xlfn.TEXTJOIN(",",TRUE,MID(SUBSTITUTE(SUBSTITUTE(SUBSTITUTE(SUBSTITUTE($Q164,"↑","1"),"↓","2"),"←","3"),"→","4"),ROW(INDIRECT("1:"&amp;LEN($Q164))),1))</f>
        <v>#REF!</v>
      </c>
      <c r="S164" s="14">
        <v>1</v>
      </c>
      <c r="T164" s="14">
        <v>100</v>
      </c>
      <c r="V164" s="14">
        <v>20404</v>
      </c>
      <c r="W164" s="14" t="s">
        <v>67</v>
      </c>
      <c r="Y164" s="14">
        <v>1</v>
      </c>
      <c r="Z164" s="14">
        <v>1</v>
      </c>
      <c r="AA164" s="14">
        <v>1</v>
      </c>
    </row>
    <row r="165" spans="1:27" x14ac:dyDescent="0.15">
      <c r="A165" s="15">
        <v>13022</v>
      </c>
      <c r="B165" s="15" t="s">
        <v>574</v>
      </c>
      <c r="C165" s="14">
        <v>3</v>
      </c>
      <c r="H165" s="16" t="s">
        <v>575</v>
      </c>
      <c r="L165" s="16" t="s">
        <v>450</v>
      </c>
      <c r="Q165" s="14" t="s">
        <v>56</v>
      </c>
      <c r="R165" s="14" t="str" cm="1">
        <f t="array" aca="1" ref="R165" ca="1">_xlfn.TEXTJOIN(",",TRUE,MID(SUBSTITUTE(SUBSTITUTE(SUBSTITUTE(SUBSTITUTE($Q165,"↑","1"),"↓","2"),"←","3"),"→","4"),ROW(INDIRECT("1:"&amp;LEN($Q165))),1))</f>
        <v>3,3</v>
      </c>
      <c r="S165" s="14">
        <v>1</v>
      </c>
      <c r="T165" s="14">
        <v>30</v>
      </c>
      <c r="V165" s="14">
        <v>20205</v>
      </c>
      <c r="W165" s="14" t="s">
        <v>180</v>
      </c>
      <c r="Y165" s="14">
        <v>1</v>
      </c>
      <c r="Z165" s="14">
        <v>1</v>
      </c>
      <c r="AA165" s="14">
        <v>1</v>
      </c>
    </row>
    <row r="166" spans="1:27" x14ac:dyDescent="0.15">
      <c r="A166" s="15">
        <v>13023</v>
      </c>
      <c r="B166" s="15" t="s">
        <v>576</v>
      </c>
      <c r="C166" s="14">
        <v>3</v>
      </c>
      <c r="R166" s="14" t="e" cm="1">
        <f t="array" aca="1" ref="R166" ca="1">_xlfn.TEXTJOIN(",",TRUE,MID(SUBSTITUTE(SUBSTITUTE(SUBSTITUTE(SUBSTITUTE($Q166,"↑","1"),"↓","2"),"←","3"),"→","4"),ROW(INDIRECT("1:"&amp;LEN($Q166))),1))</f>
        <v>#REF!</v>
      </c>
      <c r="S166" s="14">
        <v>1</v>
      </c>
      <c r="Y166" s="14">
        <v>1</v>
      </c>
      <c r="Z166" s="14">
        <v>1</v>
      </c>
      <c r="AA166" s="14">
        <v>1</v>
      </c>
    </row>
    <row r="167" spans="1:27" x14ac:dyDescent="0.15">
      <c r="A167" s="15">
        <v>13024</v>
      </c>
      <c r="B167" s="20" t="s">
        <v>577</v>
      </c>
      <c r="C167" s="14">
        <v>3</v>
      </c>
      <c r="H167" s="14" t="s">
        <v>514</v>
      </c>
      <c r="I167" s="14"/>
      <c r="J167" s="14"/>
      <c r="L167" s="16" t="s">
        <v>450</v>
      </c>
      <c r="O167" s="14">
        <v>1</v>
      </c>
      <c r="P167" s="14">
        <v>999</v>
      </c>
      <c r="R167" s="14" t="e" cm="1">
        <f t="array" aca="1" ref="R167" ca="1">_xlfn.TEXTJOIN(",",TRUE,MID(SUBSTITUTE(SUBSTITUTE(SUBSTITUTE(SUBSTITUTE($Q167,"↑","1"),"↓","2"),"←","3"),"→","4"),ROW(INDIRECT("1:"&amp;LEN($Q167))),1))</f>
        <v>#REF!</v>
      </c>
      <c r="S167" s="14">
        <v>1</v>
      </c>
      <c r="V167" s="14">
        <v>20001</v>
      </c>
      <c r="W167" s="14" t="s">
        <v>135</v>
      </c>
      <c r="Y167" s="14">
        <v>1</v>
      </c>
      <c r="Z167" s="14">
        <v>1</v>
      </c>
      <c r="AA167" s="14">
        <v>0</v>
      </c>
    </row>
    <row r="168" spans="1:27" x14ac:dyDescent="0.15">
      <c r="A168" s="15">
        <v>13025</v>
      </c>
      <c r="B168" s="15" t="s">
        <v>578</v>
      </c>
      <c r="C168" s="14">
        <v>3</v>
      </c>
      <c r="G168" s="14" t="s">
        <v>1080</v>
      </c>
      <c r="H168" s="14" t="s">
        <v>579</v>
      </c>
      <c r="I168" s="14"/>
      <c r="L168" s="16" t="s">
        <v>517</v>
      </c>
      <c r="R168" s="14" t="e" cm="1">
        <f t="array" aca="1" ref="R168" ca="1">_xlfn.TEXTJOIN(",",TRUE,MID(SUBSTITUTE(SUBSTITUTE(SUBSTITUTE(SUBSTITUTE($Q168,"↑","1"),"↓","2"),"←","3"),"→","4"),ROW(INDIRECT("1:"&amp;LEN($Q168))),1))</f>
        <v>#REF!</v>
      </c>
      <c r="S168" s="14">
        <v>1</v>
      </c>
      <c r="T168" s="14">
        <v>55</v>
      </c>
      <c r="V168" s="14">
        <v>20506</v>
      </c>
      <c r="W168" s="14" t="s">
        <v>580</v>
      </c>
      <c r="Y168" s="14">
        <v>1</v>
      </c>
      <c r="Z168" s="14">
        <v>1</v>
      </c>
      <c r="AA168" s="14">
        <v>1</v>
      </c>
    </row>
    <row r="169" spans="1:27" x14ac:dyDescent="0.15">
      <c r="A169" s="15">
        <v>13026</v>
      </c>
      <c r="B169" s="15" t="s">
        <v>581</v>
      </c>
      <c r="C169" s="14">
        <v>3</v>
      </c>
      <c r="E169" s="16" t="s">
        <v>582</v>
      </c>
      <c r="R169" s="14" t="e" cm="1">
        <f t="array" aca="1" ref="R169" ca="1">_xlfn.TEXTJOIN(",",TRUE,MID(SUBSTITUTE(SUBSTITUTE(SUBSTITUTE(SUBSTITUTE($Q169,"↑","1"),"↓","2"),"←","3"),"→","4"),ROW(INDIRECT("1:"&amp;LEN($Q169))),1))</f>
        <v>#REF!</v>
      </c>
      <c r="S169" s="14">
        <v>1</v>
      </c>
      <c r="V169" s="14">
        <v>20506</v>
      </c>
      <c r="W169" s="14" t="s">
        <v>580</v>
      </c>
      <c r="Y169" s="14">
        <v>1</v>
      </c>
      <c r="Z169" s="14">
        <v>1</v>
      </c>
      <c r="AA169" s="14">
        <v>1</v>
      </c>
    </row>
    <row r="170" spans="1:27" x14ac:dyDescent="0.15">
      <c r="A170" s="15">
        <v>13027</v>
      </c>
      <c r="B170" s="20" t="s">
        <v>583</v>
      </c>
      <c r="C170" s="14">
        <v>3</v>
      </c>
      <c r="H170" s="16" t="s">
        <v>584</v>
      </c>
      <c r="L170" s="16" t="s">
        <v>450</v>
      </c>
      <c r="N170" s="16" t="s">
        <v>585</v>
      </c>
      <c r="Q170" s="14" t="s">
        <v>586</v>
      </c>
      <c r="R170" s="14" t="str" cm="1">
        <f t="array" aca="1" ref="R170" ca="1">_xlfn.TEXTJOIN(",",TRUE,MID(SUBSTITUTE(SUBSTITUTE(SUBSTITUTE(SUBSTITUTE($Q170,"↑","1"),"↓","2"),"←","3"),"→","4"),ROW(INDIRECT("1:"&amp;LEN($Q170))),1))</f>
        <v>3,1,2</v>
      </c>
      <c r="S170" s="14">
        <v>1</v>
      </c>
      <c r="T170" s="14">
        <v>50</v>
      </c>
      <c r="V170" s="14">
        <v>20404</v>
      </c>
      <c r="W170" s="14" t="s">
        <v>67</v>
      </c>
      <c r="Y170" s="14">
        <v>1</v>
      </c>
      <c r="Z170" s="14">
        <v>1</v>
      </c>
      <c r="AA170" s="14">
        <v>1</v>
      </c>
    </row>
    <row r="171" spans="1:27" x14ac:dyDescent="0.15">
      <c r="A171" s="15">
        <v>13028</v>
      </c>
      <c r="B171" s="15" t="s">
        <v>587</v>
      </c>
      <c r="C171" s="14">
        <v>3</v>
      </c>
      <c r="E171" s="16" t="s">
        <v>554</v>
      </c>
      <c r="H171" s="16" t="s">
        <v>588</v>
      </c>
      <c r="L171" s="16" t="s">
        <v>589</v>
      </c>
      <c r="Q171" s="14" t="s">
        <v>402</v>
      </c>
      <c r="R171" s="14" t="str" cm="1">
        <f t="array" aca="1" ref="R171" ca="1">_xlfn.TEXTJOIN(",",TRUE,MID(SUBSTITUTE(SUBSTITUTE(SUBSTITUTE(SUBSTITUTE($Q171,"↑","1"),"↓","2"),"←","3"),"→","4"),ROW(INDIRECT("1:"&amp;LEN($Q171))),1))</f>
        <v>2,3,3,4</v>
      </c>
      <c r="S171" s="14">
        <v>1</v>
      </c>
      <c r="T171" s="14">
        <v>80</v>
      </c>
      <c r="V171" s="14">
        <v>20404</v>
      </c>
      <c r="W171" s="14" t="s">
        <v>67</v>
      </c>
      <c r="Y171" s="14">
        <v>1</v>
      </c>
      <c r="Z171" s="14">
        <v>1</v>
      </c>
      <c r="AA171" s="14">
        <v>1</v>
      </c>
    </row>
    <row r="172" spans="1:27" x14ac:dyDescent="0.15">
      <c r="A172" s="15">
        <v>13029</v>
      </c>
      <c r="B172" s="20" t="s">
        <v>590</v>
      </c>
      <c r="C172" s="14">
        <v>3</v>
      </c>
      <c r="H172" s="14" t="s">
        <v>591</v>
      </c>
      <c r="I172" s="14"/>
      <c r="J172" s="14"/>
      <c r="L172" s="16" t="s">
        <v>382</v>
      </c>
      <c r="P172" s="14">
        <v>3</v>
      </c>
      <c r="Q172" s="14" t="s">
        <v>592</v>
      </c>
      <c r="R172" s="14" t="str" cm="1">
        <f t="array" aca="1" ref="R172" ca="1">_xlfn.TEXTJOIN(",",TRUE,MID(SUBSTITUTE(SUBSTITUTE(SUBSTITUTE(SUBSTITUTE($Q172,"↑","1"),"↓","2"),"←","3"),"→","4"),ROW(INDIRECT("1:"&amp;LEN($Q172))),1))</f>
        <v>4,1,3,2</v>
      </c>
      <c r="S172" s="14">
        <v>1</v>
      </c>
      <c r="T172" s="14">
        <v>30</v>
      </c>
      <c r="V172" s="14">
        <v>20202</v>
      </c>
      <c r="W172" s="14" t="s">
        <v>52</v>
      </c>
      <c r="Y172" s="14">
        <v>1</v>
      </c>
      <c r="Z172" s="14">
        <v>1</v>
      </c>
      <c r="AA172" s="14">
        <v>1</v>
      </c>
    </row>
    <row r="173" spans="1:27" x14ac:dyDescent="0.15">
      <c r="A173" s="15">
        <v>13030</v>
      </c>
      <c r="B173" s="20" t="s">
        <v>593</v>
      </c>
      <c r="C173" s="14">
        <v>3</v>
      </c>
      <c r="H173" s="16" t="s">
        <v>594</v>
      </c>
      <c r="L173" s="16" t="s">
        <v>450</v>
      </c>
      <c r="P173" s="14">
        <v>3</v>
      </c>
      <c r="Q173" s="14" t="s">
        <v>371</v>
      </c>
      <c r="R173" s="14" t="str" cm="1">
        <f t="array" aca="1" ref="R173" ca="1">_xlfn.TEXTJOIN(",",TRUE,MID(SUBSTITUTE(SUBSTITUTE(SUBSTITUTE(SUBSTITUTE($Q173,"↑","1"),"↓","2"),"←","3"),"→","4"),ROW(INDIRECT("1:"&amp;LEN($Q173))),1))</f>
        <v>4,3</v>
      </c>
      <c r="S173" s="14">
        <v>1</v>
      </c>
      <c r="T173" s="14">
        <v>40</v>
      </c>
      <c r="V173" s="14">
        <v>20202</v>
      </c>
      <c r="W173" s="14" t="s">
        <v>52</v>
      </c>
      <c r="Y173" s="14">
        <v>1</v>
      </c>
      <c r="Z173" s="14">
        <v>1</v>
      </c>
      <c r="AA173" s="14">
        <v>1</v>
      </c>
    </row>
    <row r="174" spans="1:27" x14ac:dyDescent="0.15">
      <c r="A174" s="15">
        <v>13031</v>
      </c>
      <c r="B174" s="20" t="s">
        <v>595</v>
      </c>
      <c r="C174" s="14">
        <v>3</v>
      </c>
      <c r="E174" s="16" t="s">
        <v>596</v>
      </c>
      <c r="H174" s="16" t="s">
        <v>519</v>
      </c>
      <c r="L174" s="16" t="s">
        <v>597</v>
      </c>
      <c r="N174" s="16" t="s">
        <v>76</v>
      </c>
      <c r="Q174" s="14" t="s">
        <v>598</v>
      </c>
      <c r="R174" s="14" t="str" cm="1">
        <f t="array" aca="1" ref="R174" ca="1">_xlfn.TEXTJOIN(",",TRUE,MID(SUBSTITUTE(SUBSTITUTE(SUBSTITUTE(SUBSTITUTE($Q174,"↑","1"),"↓","2"),"←","3"),"→","4"),ROW(INDIRECT("1:"&amp;LEN($Q174))),1))</f>
        <v>4,2,1</v>
      </c>
      <c r="S174" s="14">
        <v>1</v>
      </c>
      <c r="T174" s="14">
        <v>50</v>
      </c>
      <c r="V174" s="14">
        <v>20202</v>
      </c>
      <c r="W174" s="14" t="s">
        <v>52</v>
      </c>
      <c r="Y174" s="14">
        <v>1</v>
      </c>
      <c r="Z174" s="14">
        <v>1</v>
      </c>
      <c r="AA174" s="14">
        <v>1</v>
      </c>
    </row>
    <row r="175" spans="1:27" x14ac:dyDescent="0.15">
      <c r="A175" s="15">
        <v>13032</v>
      </c>
      <c r="B175" s="20" t="s">
        <v>599</v>
      </c>
      <c r="C175" s="14">
        <v>3</v>
      </c>
      <c r="E175" s="16" t="s">
        <v>554</v>
      </c>
      <c r="H175" s="14" t="s">
        <v>600</v>
      </c>
      <c r="I175" s="14"/>
      <c r="J175" s="14"/>
      <c r="N175" s="16" t="s">
        <v>76</v>
      </c>
      <c r="Q175" s="1" t="s">
        <v>114</v>
      </c>
      <c r="R175" s="14" t="str" cm="1">
        <f t="array" aca="1" ref="R175" ca="1">_xlfn.TEXTJOIN(",",TRUE,MID(SUBSTITUTE(SUBSTITUTE(SUBSTITUTE(SUBSTITUTE($Q175,"↑","1"),"↓","2"),"←","3"),"→","4"),ROW(INDIRECT("1:"&amp;LEN($Q175))),1))</f>
        <v>3,1,3</v>
      </c>
      <c r="S175" s="14">
        <v>1</v>
      </c>
      <c r="T175" s="14">
        <v>35</v>
      </c>
      <c r="V175" s="14">
        <v>20202</v>
      </c>
      <c r="W175" s="14" t="s">
        <v>52</v>
      </c>
      <c r="Y175" s="14">
        <v>1</v>
      </c>
      <c r="Z175" s="14">
        <v>1</v>
      </c>
      <c r="AA175" s="14">
        <v>1</v>
      </c>
    </row>
    <row r="176" spans="1:27" x14ac:dyDescent="0.15">
      <c r="A176" s="15">
        <v>13033</v>
      </c>
      <c r="B176" s="20" t="s">
        <v>601</v>
      </c>
      <c r="C176" s="14">
        <v>3</v>
      </c>
      <c r="H176" s="16" t="s">
        <v>602</v>
      </c>
      <c r="L176" s="16" t="s">
        <v>450</v>
      </c>
      <c r="Q176" s="14" t="s">
        <v>365</v>
      </c>
      <c r="R176" s="14" t="str" cm="1">
        <f t="array" aca="1" ref="R176" ca="1">_xlfn.TEXTJOIN(",",TRUE,MID(SUBSTITUTE(SUBSTITUTE(SUBSTITUTE(SUBSTITUTE($Q176,"↑","1"),"↓","2"),"←","3"),"→","4"),ROW(INDIRECT("1:"&amp;LEN($Q176))),1))</f>
        <v>3,4</v>
      </c>
      <c r="S176" s="14">
        <v>1</v>
      </c>
      <c r="T176" s="14">
        <v>20</v>
      </c>
      <c r="V176" s="14">
        <v>20202</v>
      </c>
      <c r="W176" s="14" t="s">
        <v>52</v>
      </c>
      <c r="Y176" s="14">
        <v>1</v>
      </c>
      <c r="Z176" s="14">
        <v>1</v>
      </c>
      <c r="AA176" s="14">
        <v>1</v>
      </c>
    </row>
    <row r="177" spans="1:27" x14ac:dyDescent="0.15">
      <c r="A177" s="15">
        <v>13034</v>
      </c>
      <c r="C177" s="14">
        <v>3</v>
      </c>
      <c r="H177" s="16" t="s">
        <v>603</v>
      </c>
      <c r="L177" s="16" t="s">
        <v>604</v>
      </c>
      <c r="Q177" s="14" t="s">
        <v>308</v>
      </c>
      <c r="R177" s="14" t="str" cm="1">
        <f t="array" aca="1" ref="R177" ca="1">_xlfn.TEXTJOIN(",",TRUE,MID(SUBSTITUTE(SUBSTITUTE(SUBSTITUTE(SUBSTITUTE($Q177,"↑","1"),"↓","2"),"←","3"),"→","4"),ROW(INDIRECT("1:"&amp;LEN($Q177))),1))</f>
        <v>4,2,2</v>
      </c>
      <c r="S177" s="14">
        <v>1</v>
      </c>
      <c r="V177" s="14">
        <v>20401</v>
      </c>
      <c r="W177" s="14" t="s">
        <v>227</v>
      </c>
      <c r="Y177" s="14">
        <v>1</v>
      </c>
      <c r="Z177" s="14">
        <v>1</v>
      </c>
      <c r="AA177" s="14">
        <v>1</v>
      </c>
    </row>
    <row r="178" spans="1:27" x14ac:dyDescent="0.15">
      <c r="A178" s="15">
        <v>13035</v>
      </c>
      <c r="C178" s="14">
        <v>3</v>
      </c>
      <c r="E178" s="16" t="s">
        <v>605</v>
      </c>
      <c r="H178" s="14" t="s">
        <v>530</v>
      </c>
      <c r="J178" s="16" t="s">
        <v>606</v>
      </c>
      <c r="R178" s="14" t="e" cm="1">
        <f t="array" aca="1" ref="R178" ca="1">_xlfn.TEXTJOIN(",",TRUE,MID(SUBSTITUTE(SUBSTITUTE(SUBSTITUTE(SUBSTITUTE($Q178,"↑","1"),"↓","2"),"←","3"),"→","4"),ROW(INDIRECT("1:"&amp;LEN($Q178))),1))</f>
        <v>#REF!</v>
      </c>
      <c r="S178" s="14">
        <v>1</v>
      </c>
      <c r="V178" s="14">
        <v>20505</v>
      </c>
      <c r="W178" s="14" t="s">
        <v>346</v>
      </c>
      <c r="Y178" s="14">
        <v>1</v>
      </c>
      <c r="Z178" s="14">
        <v>1</v>
      </c>
      <c r="AA178" s="14">
        <v>1</v>
      </c>
    </row>
    <row r="179" spans="1:27" x14ac:dyDescent="0.15">
      <c r="A179" s="15">
        <v>13036</v>
      </c>
      <c r="B179" s="15" t="s">
        <v>607</v>
      </c>
      <c r="C179" s="14">
        <v>3</v>
      </c>
      <c r="H179" s="14" t="s">
        <v>608</v>
      </c>
      <c r="Q179" s="14" t="s">
        <v>609</v>
      </c>
      <c r="R179" s="14" t="str" cm="1">
        <f t="array" aca="1" ref="R179" ca="1">_xlfn.TEXTJOIN(",",TRUE,MID(SUBSTITUTE(SUBSTITUTE(SUBSTITUTE(SUBSTITUTE($Q179,"↑","1"),"↓","2"),"←","3"),"→","4"),ROW(INDIRECT("1:"&amp;LEN($Q179))),1))</f>
        <v>4,4</v>
      </c>
      <c r="S179" s="14">
        <v>1</v>
      </c>
      <c r="T179" s="14">
        <v>50</v>
      </c>
      <c r="V179" s="14">
        <v>20701</v>
      </c>
      <c r="W179" s="14" t="s">
        <v>293</v>
      </c>
      <c r="Y179" s="14">
        <v>1</v>
      </c>
      <c r="Z179" s="14">
        <v>1</v>
      </c>
      <c r="AA179" s="14">
        <v>1</v>
      </c>
    </row>
    <row r="180" spans="1:27" x14ac:dyDescent="0.15">
      <c r="A180" s="15">
        <v>13037</v>
      </c>
      <c r="C180" s="14">
        <v>3</v>
      </c>
      <c r="E180" s="16" t="s">
        <v>610</v>
      </c>
      <c r="H180" s="14" t="s">
        <v>611</v>
      </c>
      <c r="R180" s="14" t="e" cm="1">
        <f t="array" aca="1" ref="R180" ca="1">_xlfn.TEXTJOIN(",",TRUE,MID(SUBSTITUTE(SUBSTITUTE(SUBSTITUTE(SUBSTITUTE($Q180,"↑","1"),"↓","2"),"←","3"),"→","4"),ROW(INDIRECT("1:"&amp;LEN($Q180))),1))</f>
        <v>#REF!</v>
      </c>
      <c r="S180" s="14">
        <v>1</v>
      </c>
      <c r="V180" s="14">
        <v>20505</v>
      </c>
      <c r="W180" s="14" t="s">
        <v>346</v>
      </c>
      <c r="Y180" s="14">
        <v>1</v>
      </c>
      <c r="Z180" s="14">
        <v>1</v>
      </c>
      <c r="AA180" s="14">
        <v>1</v>
      </c>
    </row>
    <row r="181" spans="1:27" ht="33" x14ac:dyDescent="0.15">
      <c r="A181" s="15">
        <v>13038</v>
      </c>
      <c r="B181" s="15" t="s">
        <v>612</v>
      </c>
      <c r="C181" s="14">
        <v>3</v>
      </c>
      <c r="H181" s="14" t="s">
        <v>613</v>
      </c>
      <c r="J181" s="16" t="s">
        <v>614</v>
      </c>
      <c r="P181" s="14">
        <v>999</v>
      </c>
      <c r="Q181" s="14" t="s">
        <v>615</v>
      </c>
      <c r="R181" s="14" t="str" cm="1">
        <f t="array" aca="1" ref="R181" ca="1">_xlfn.TEXTJOIN(",",TRUE,MID(SUBSTITUTE(SUBSTITUTE(SUBSTITUTE(SUBSTITUTE($Q181,"↑","1"),"↓","2"),"←","3"),"→","4"),ROW(INDIRECT("1:"&amp;LEN($Q181))),1))</f>
        <v>4,4,2,3</v>
      </c>
      <c r="S181" s="14">
        <v>1</v>
      </c>
      <c r="U181" s="14">
        <v>500</v>
      </c>
      <c r="V181" s="14">
        <v>20001</v>
      </c>
      <c r="W181" s="14" t="s">
        <v>135</v>
      </c>
      <c r="Y181" s="14">
        <v>1</v>
      </c>
      <c r="Z181" s="14">
        <v>1</v>
      </c>
      <c r="AA181" s="14">
        <v>0</v>
      </c>
    </row>
    <row r="182" spans="1:27" ht="33" x14ac:dyDescent="0.15">
      <c r="A182" s="15">
        <v>13039</v>
      </c>
      <c r="B182" s="15" t="s">
        <v>616</v>
      </c>
      <c r="C182" s="14">
        <v>3</v>
      </c>
      <c r="G182" s="16" t="s">
        <v>1069</v>
      </c>
      <c r="H182" s="14" t="s">
        <v>617</v>
      </c>
      <c r="N182" s="16" t="s">
        <v>618</v>
      </c>
      <c r="R182" s="14" t="e" cm="1">
        <f t="array" aca="1" ref="R182" ca="1">_xlfn.TEXTJOIN(",",TRUE,MID(SUBSTITUTE(SUBSTITUTE(SUBSTITUTE(SUBSTITUTE($Q182,"↑","1"),"↓","2"),"←","3"),"→","4"),ROW(INDIRECT("1:"&amp;LEN($Q182))),1))</f>
        <v>#REF!</v>
      </c>
      <c r="S182" s="14">
        <v>1</v>
      </c>
      <c r="T182" s="14">
        <v>55</v>
      </c>
      <c r="V182" s="14">
        <v>20404</v>
      </c>
      <c r="W182" s="14" t="s">
        <v>67</v>
      </c>
      <c r="Y182" s="14">
        <v>1</v>
      </c>
      <c r="Z182" s="14">
        <v>1</v>
      </c>
      <c r="AA182" s="14">
        <v>1</v>
      </c>
    </row>
    <row r="183" spans="1:27" ht="33" x14ac:dyDescent="0.15">
      <c r="A183" s="15">
        <v>13040</v>
      </c>
      <c r="B183" s="15" t="s">
        <v>619</v>
      </c>
      <c r="C183" s="14">
        <v>3</v>
      </c>
      <c r="G183" s="16" t="s">
        <v>1081</v>
      </c>
      <c r="H183" s="14" t="s">
        <v>526</v>
      </c>
      <c r="L183" s="16" t="s">
        <v>620</v>
      </c>
      <c r="N183" s="16" t="s">
        <v>621</v>
      </c>
      <c r="R183" s="14" t="e" cm="1">
        <f t="array" aca="1" ref="R183" ca="1">_xlfn.TEXTJOIN(",",TRUE,MID(SUBSTITUTE(SUBSTITUTE(SUBSTITUTE(SUBSTITUTE($Q183,"↑","1"),"↓","2"),"←","3"),"→","4"),ROW(INDIRECT("1:"&amp;LEN($Q183))),1))</f>
        <v>#REF!</v>
      </c>
      <c r="S183" s="14">
        <v>1</v>
      </c>
      <c r="V183" s="14">
        <v>20504</v>
      </c>
      <c r="W183" s="14" t="s">
        <v>557</v>
      </c>
      <c r="Y183" s="14">
        <v>1</v>
      </c>
      <c r="Z183" s="14">
        <v>1</v>
      </c>
      <c r="AA183" s="14">
        <v>1</v>
      </c>
    </row>
    <row r="184" spans="1:27" x14ac:dyDescent="0.15">
      <c r="A184" s="15">
        <v>13041</v>
      </c>
      <c r="B184" s="15" t="s">
        <v>622</v>
      </c>
      <c r="C184" s="14">
        <v>3</v>
      </c>
      <c r="H184" s="14" t="s">
        <v>623</v>
      </c>
      <c r="L184" s="16" t="s">
        <v>450</v>
      </c>
      <c r="N184" s="16" t="s">
        <v>624</v>
      </c>
      <c r="P184" s="14">
        <v>7</v>
      </c>
      <c r="Q184" s="14" t="s">
        <v>625</v>
      </c>
      <c r="R184" s="14" t="str" cm="1">
        <f t="array" aca="1" ref="R184" ca="1">_xlfn.TEXTJOIN(",",TRUE,MID(SUBSTITUTE(SUBSTITUTE(SUBSTITUTE(SUBSTITUTE($Q184,"↑","1"),"↓","2"),"←","3"),"→","4"),ROW(INDIRECT("1:"&amp;LEN($Q184))),1))</f>
        <v>4,2,3</v>
      </c>
      <c r="S184" s="14">
        <v>1</v>
      </c>
      <c r="T184" s="14">
        <v>35</v>
      </c>
      <c r="V184" s="14">
        <v>20305</v>
      </c>
      <c r="W184" s="14" t="s">
        <v>89</v>
      </c>
      <c r="Y184" s="14">
        <v>1</v>
      </c>
      <c r="Z184" s="14">
        <v>1</v>
      </c>
      <c r="AA184" s="14">
        <v>1</v>
      </c>
    </row>
    <row r="185" spans="1:27" x14ac:dyDescent="0.15">
      <c r="A185" s="15">
        <v>13042</v>
      </c>
      <c r="B185" s="15" t="s">
        <v>626</v>
      </c>
      <c r="C185" s="14">
        <v>3</v>
      </c>
      <c r="H185" s="14" t="s">
        <v>627</v>
      </c>
      <c r="N185" s="16" t="s">
        <v>628</v>
      </c>
      <c r="P185" s="14">
        <v>7</v>
      </c>
      <c r="Q185" s="14" t="s">
        <v>629</v>
      </c>
      <c r="R185" s="14" t="str" cm="1">
        <f t="array" aca="1" ref="R185" ca="1">_xlfn.TEXTJOIN(",",TRUE,MID(SUBSTITUTE(SUBSTITUTE(SUBSTITUTE(SUBSTITUTE($Q185,"↑","1"),"↓","2"),"←","3"),"→","4"),ROW(INDIRECT("1:"&amp;LEN($Q185))),1))</f>
        <v>4,2,3,1</v>
      </c>
      <c r="S185" s="14">
        <v>1</v>
      </c>
      <c r="T185" s="14">
        <v>50</v>
      </c>
      <c r="V185" s="14">
        <v>20305</v>
      </c>
      <c r="W185" s="14" t="s">
        <v>89</v>
      </c>
      <c r="Y185" s="14">
        <v>1</v>
      </c>
      <c r="Z185" s="14">
        <v>1</v>
      </c>
      <c r="AA185" s="14">
        <v>1</v>
      </c>
    </row>
    <row r="186" spans="1:27" x14ac:dyDescent="0.15">
      <c r="A186" s="15">
        <v>13043</v>
      </c>
      <c r="B186" s="15" t="s">
        <v>612</v>
      </c>
      <c r="C186" s="14">
        <v>3</v>
      </c>
      <c r="H186" s="14" t="s">
        <v>630</v>
      </c>
      <c r="J186" s="16" t="s">
        <v>1082</v>
      </c>
      <c r="P186" s="14">
        <v>999</v>
      </c>
      <c r="Q186" s="14" t="s">
        <v>615</v>
      </c>
      <c r="R186" s="14" t="str" cm="1">
        <f t="array" aca="1" ref="R186" ca="1">_xlfn.TEXTJOIN(",",TRUE,MID(SUBSTITUTE(SUBSTITUTE(SUBSTITUTE(SUBSTITUTE($Q186,"↑","1"),"↓","2"),"←","3"),"→","4"),ROW(INDIRECT("1:"&amp;LEN($Q186))),1))</f>
        <v>4,4,2,3</v>
      </c>
      <c r="S186" s="14">
        <v>1</v>
      </c>
      <c r="U186" s="14">
        <v>500</v>
      </c>
      <c r="V186" s="14">
        <v>20001</v>
      </c>
      <c r="W186" s="14" t="s">
        <v>135</v>
      </c>
      <c r="Y186" s="14">
        <v>1</v>
      </c>
      <c r="Z186" s="14">
        <v>1</v>
      </c>
      <c r="AA186" s="14">
        <v>0</v>
      </c>
    </row>
    <row r="187" spans="1:27" x14ac:dyDescent="0.15">
      <c r="A187" s="15">
        <v>13044</v>
      </c>
      <c r="B187" s="15" t="s">
        <v>631</v>
      </c>
      <c r="C187" s="14">
        <v>3</v>
      </c>
      <c r="H187" s="14" t="s">
        <v>579</v>
      </c>
      <c r="J187" s="16" t="s">
        <v>632</v>
      </c>
      <c r="P187" s="14">
        <v>999</v>
      </c>
      <c r="Q187" s="14" t="s">
        <v>633</v>
      </c>
      <c r="R187" s="14" t="str" cm="1">
        <f t="array" aca="1" ref="R187" ca="1">_xlfn.TEXTJOIN(",",TRUE,MID(SUBSTITUTE(SUBSTITUTE(SUBSTITUTE(SUBSTITUTE($Q187,"↑","1"),"↓","2"),"←","3"),"→","4"),ROW(INDIRECT("1:"&amp;LEN($Q187))),1))</f>
        <v>4,4,2</v>
      </c>
      <c r="S187" s="14">
        <v>1</v>
      </c>
      <c r="U187" s="14">
        <v>500</v>
      </c>
      <c r="V187" s="14">
        <v>20001</v>
      </c>
      <c r="W187" s="14" t="s">
        <v>135</v>
      </c>
      <c r="Y187" s="14">
        <v>1</v>
      </c>
      <c r="Z187" s="14">
        <v>1</v>
      </c>
      <c r="AA187" s="14">
        <v>1</v>
      </c>
    </row>
    <row r="188" spans="1:27" x14ac:dyDescent="0.15">
      <c r="A188" s="15">
        <v>13045</v>
      </c>
      <c r="B188" s="15" t="s">
        <v>631</v>
      </c>
      <c r="C188" s="14">
        <v>3</v>
      </c>
      <c r="H188" s="14" t="s">
        <v>572</v>
      </c>
      <c r="J188" s="16" t="s">
        <v>632</v>
      </c>
      <c r="P188" s="14">
        <v>999</v>
      </c>
      <c r="Q188" s="14" t="s">
        <v>633</v>
      </c>
      <c r="R188" s="14" t="str" cm="1">
        <f t="array" aca="1" ref="R188" ca="1">_xlfn.TEXTJOIN(",",TRUE,MID(SUBSTITUTE(SUBSTITUTE(SUBSTITUTE(SUBSTITUTE($Q188,"↑","1"),"↓","2"),"←","3"),"→","4"),ROW(INDIRECT("1:"&amp;LEN($Q188))),1))</f>
        <v>4,4,2</v>
      </c>
      <c r="S188" s="14">
        <v>1</v>
      </c>
      <c r="U188" s="14">
        <v>500</v>
      </c>
      <c r="V188" s="14">
        <v>20001</v>
      </c>
      <c r="W188" s="14" t="s">
        <v>135</v>
      </c>
      <c r="Y188" s="14">
        <v>1</v>
      </c>
      <c r="Z188" s="14">
        <v>1</v>
      </c>
      <c r="AA188" s="14">
        <v>1</v>
      </c>
    </row>
    <row r="189" spans="1:27" ht="33" x14ac:dyDescent="0.15">
      <c r="A189" s="15">
        <v>13046</v>
      </c>
      <c r="B189" s="20" t="s">
        <v>634</v>
      </c>
      <c r="C189" s="14">
        <v>3</v>
      </c>
      <c r="G189" s="16" t="s">
        <v>1074</v>
      </c>
      <c r="H189" s="14" t="s">
        <v>584</v>
      </c>
      <c r="L189" s="16" t="s">
        <v>635</v>
      </c>
      <c r="N189" s="16" t="s">
        <v>636</v>
      </c>
      <c r="O189" s="14">
        <v>2</v>
      </c>
      <c r="P189" s="14">
        <v>12</v>
      </c>
      <c r="R189" s="14" t="e" cm="1">
        <f t="array" aca="1" ref="R189" ca="1">_xlfn.TEXTJOIN(",",TRUE,MID(SUBSTITUTE(SUBSTITUTE(SUBSTITUTE(SUBSTITUTE($Q189,"↑","1"),"↓","2"),"←","3"),"→","4"),ROW(INDIRECT("1:"&amp;LEN($Q189))),1))</f>
        <v>#REF!</v>
      </c>
      <c r="S189" s="14">
        <v>1</v>
      </c>
      <c r="V189" s="14">
        <v>20701</v>
      </c>
      <c r="W189" s="14" t="s">
        <v>293</v>
      </c>
      <c r="Y189" s="14">
        <v>1</v>
      </c>
      <c r="Z189" s="14">
        <v>1</v>
      </c>
      <c r="AA189" s="14">
        <v>1</v>
      </c>
    </row>
    <row r="190" spans="1:27" x14ac:dyDescent="0.15">
      <c r="A190" s="15">
        <v>13047</v>
      </c>
      <c r="B190" s="15" t="s">
        <v>637</v>
      </c>
      <c r="C190" s="14">
        <v>3</v>
      </c>
      <c r="H190" s="14" t="s">
        <v>611</v>
      </c>
      <c r="J190" s="16" t="s">
        <v>638</v>
      </c>
      <c r="Q190" s="14" t="s">
        <v>639</v>
      </c>
      <c r="R190" s="14" t="str" cm="1">
        <f t="array" aca="1" ref="R190" ca="1">_xlfn.TEXTJOIN(",",TRUE,MID(SUBSTITUTE(SUBSTITUTE(SUBSTITUTE(SUBSTITUTE($Q190,"↑","1"),"↓","2"),"←","3"),"→","4"),ROW(INDIRECT("1:"&amp;LEN($Q190))),1))</f>
        <v>1,4,4</v>
      </c>
      <c r="S190" s="14">
        <v>1</v>
      </c>
      <c r="T190" s="14">
        <v>15</v>
      </c>
      <c r="V190" s="14">
        <v>20202</v>
      </c>
      <c r="W190" s="14" t="s">
        <v>52</v>
      </c>
      <c r="Y190" s="14">
        <v>1</v>
      </c>
      <c r="Z190" s="14">
        <v>1</v>
      </c>
      <c r="AA190" s="14">
        <v>1</v>
      </c>
    </row>
    <row r="191" spans="1:27" ht="33" x14ac:dyDescent="0.15">
      <c r="A191" s="15">
        <v>13048</v>
      </c>
      <c r="B191" s="15" t="s">
        <v>640</v>
      </c>
      <c r="C191" s="14">
        <v>3</v>
      </c>
      <c r="E191" s="16" t="s">
        <v>529</v>
      </c>
      <c r="H191" s="16" t="s">
        <v>1083</v>
      </c>
      <c r="L191" s="16" t="s">
        <v>641</v>
      </c>
      <c r="N191" s="16" t="s">
        <v>76</v>
      </c>
      <c r="Q191" s="14" t="s">
        <v>642</v>
      </c>
      <c r="R191" s="14" t="str" cm="1">
        <f t="array" aca="1" ref="R191" ca="1">_xlfn.TEXTJOIN(",",TRUE,MID(SUBSTITUTE(SUBSTITUTE(SUBSTITUTE(SUBSTITUTE($Q191,"↑","1"),"↓","2"),"←","3"),"→","4"),ROW(INDIRECT("1:"&amp;LEN($Q191))),1))</f>
        <v>1,2,2,3</v>
      </c>
      <c r="S191" s="14">
        <v>1</v>
      </c>
      <c r="T191" s="14">
        <v>44</v>
      </c>
      <c r="V191" s="14">
        <v>20202</v>
      </c>
      <c r="W191" s="14" t="s">
        <v>52</v>
      </c>
      <c r="Y191" s="14">
        <v>1</v>
      </c>
      <c r="Z191" s="14">
        <v>1</v>
      </c>
      <c r="AA191" s="14">
        <v>1</v>
      </c>
    </row>
    <row r="192" spans="1:27" x14ac:dyDescent="0.15">
      <c r="A192" s="15">
        <v>13049</v>
      </c>
      <c r="B192" s="15" t="s">
        <v>643</v>
      </c>
      <c r="C192" s="14">
        <v>3</v>
      </c>
      <c r="H192" s="16" t="s">
        <v>584</v>
      </c>
      <c r="L192" s="16" t="s">
        <v>644</v>
      </c>
      <c r="O192" s="14">
        <v>2</v>
      </c>
      <c r="P192" s="14">
        <v>12</v>
      </c>
      <c r="Q192" s="14" t="s">
        <v>371</v>
      </c>
      <c r="R192" s="14" t="str" cm="1">
        <f t="array" aca="1" ref="R192" ca="1">_xlfn.TEXTJOIN(",",TRUE,MID(SUBSTITUTE(SUBSTITUTE(SUBSTITUTE(SUBSTITUTE($Q192,"↑","1"),"↓","2"),"←","3"),"→","4"),ROW(INDIRECT("1:"&amp;LEN($Q192))),1))</f>
        <v>4,3</v>
      </c>
      <c r="S192" s="14">
        <v>1</v>
      </c>
      <c r="T192" s="14">
        <v>50</v>
      </c>
      <c r="V192" s="14">
        <v>20702</v>
      </c>
      <c r="W192" s="14" t="s">
        <v>157</v>
      </c>
      <c r="Y192" s="14">
        <v>1</v>
      </c>
      <c r="Z192" s="14">
        <v>1</v>
      </c>
      <c r="AA192" s="14">
        <v>1</v>
      </c>
    </row>
    <row r="193" spans="1:27" x14ac:dyDescent="0.15">
      <c r="A193" s="15">
        <v>13050</v>
      </c>
      <c r="B193" s="15" t="s">
        <v>645</v>
      </c>
      <c r="C193" s="14">
        <v>3</v>
      </c>
      <c r="H193" s="16" t="s">
        <v>516</v>
      </c>
      <c r="L193" s="16" t="s">
        <v>644</v>
      </c>
      <c r="O193" s="14">
        <v>2</v>
      </c>
      <c r="P193" s="14">
        <v>6</v>
      </c>
      <c r="Q193" s="14" t="s">
        <v>371</v>
      </c>
      <c r="R193" s="14" t="str" cm="1">
        <f t="array" aca="1" ref="R193" ca="1">_xlfn.TEXTJOIN(",",TRUE,MID(SUBSTITUTE(SUBSTITUTE(SUBSTITUTE(SUBSTITUTE($Q193,"↑","1"),"↓","2"),"←","3"),"→","4"),ROW(INDIRECT("1:"&amp;LEN($Q193))),1))</f>
        <v>4,3</v>
      </c>
      <c r="S193" s="14">
        <v>1</v>
      </c>
      <c r="T193" s="14">
        <v>45</v>
      </c>
      <c r="V193" s="14">
        <v>20401</v>
      </c>
      <c r="W193" s="14" t="s">
        <v>227</v>
      </c>
      <c r="Y193" s="14">
        <v>1</v>
      </c>
      <c r="Z193" s="14">
        <v>1</v>
      </c>
      <c r="AA193" s="14">
        <v>1</v>
      </c>
    </row>
    <row r="194" spans="1:27" ht="33" x14ac:dyDescent="0.15">
      <c r="A194" s="15">
        <v>13051</v>
      </c>
      <c r="B194" s="15" t="s">
        <v>646</v>
      </c>
      <c r="C194" s="14">
        <v>3</v>
      </c>
      <c r="H194" s="16" t="s">
        <v>647</v>
      </c>
      <c r="L194" s="16" t="s">
        <v>648</v>
      </c>
      <c r="R194" s="14" t="e" cm="1">
        <f t="array" aca="1" ref="R194" ca="1">_xlfn.TEXTJOIN(",",TRUE,MID(SUBSTITUTE(SUBSTITUTE(SUBSTITUTE(SUBSTITUTE($Q194,"↑","1"),"↓","2"),"←","3"),"→","4"),ROW(INDIRECT("1:"&amp;LEN($Q194))),1))</f>
        <v>#REF!</v>
      </c>
      <c r="S194" s="14">
        <v>1</v>
      </c>
      <c r="V194" s="14">
        <v>20401</v>
      </c>
      <c r="W194" s="14" t="s">
        <v>227</v>
      </c>
      <c r="Y194" s="14">
        <v>1</v>
      </c>
      <c r="Z194" s="14">
        <v>1</v>
      </c>
      <c r="AA194" s="14">
        <v>1</v>
      </c>
    </row>
    <row r="195" spans="1:27" x14ac:dyDescent="0.15">
      <c r="A195" s="15">
        <v>13052</v>
      </c>
      <c r="B195" s="15" t="s">
        <v>649</v>
      </c>
      <c r="C195" s="14">
        <v>3</v>
      </c>
      <c r="E195" s="16" t="s">
        <v>650</v>
      </c>
      <c r="H195" s="16" t="s">
        <v>651</v>
      </c>
      <c r="L195" s="24" t="s">
        <v>450</v>
      </c>
      <c r="Q195" s="1" t="s">
        <v>56</v>
      </c>
      <c r="R195" s="14" t="str" cm="1">
        <f t="array" aca="1" ref="R195" ca="1">_xlfn.TEXTJOIN(",",TRUE,MID(SUBSTITUTE(SUBSTITUTE(SUBSTITUTE(SUBSTITUTE($Q195,"↑","1"),"↓","2"),"←","3"),"→","4"),ROW(INDIRECT("1:"&amp;LEN($Q195))),1))</f>
        <v>3,3</v>
      </c>
      <c r="S195" s="14">
        <v>1</v>
      </c>
      <c r="T195" s="14">
        <v>35</v>
      </c>
      <c r="U195" s="14" t="s">
        <v>51</v>
      </c>
      <c r="V195" s="14">
        <v>20202</v>
      </c>
      <c r="W195" s="14" t="s">
        <v>52</v>
      </c>
      <c r="Y195" s="14">
        <v>1</v>
      </c>
      <c r="Z195" s="14">
        <v>1</v>
      </c>
      <c r="AA195" s="14">
        <v>1</v>
      </c>
    </row>
    <row r="196" spans="1:27" x14ac:dyDescent="0.15">
      <c r="A196" s="15">
        <v>13053</v>
      </c>
      <c r="B196" s="15" t="s">
        <v>652</v>
      </c>
      <c r="C196" s="14">
        <v>3</v>
      </c>
      <c r="H196" s="16" t="s">
        <v>653</v>
      </c>
      <c r="L196" s="16" t="s">
        <v>654</v>
      </c>
      <c r="Q196" s="14" t="s">
        <v>371</v>
      </c>
      <c r="R196" s="14" t="str" cm="1">
        <f t="array" aca="1" ref="R196" ca="1">_xlfn.TEXTJOIN(",",TRUE,MID(SUBSTITUTE(SUBSTITUTE(SUBSTITUTE(SUBSTITUTE($Q196,"↑","1"),"↓","2"),"←","3"),"→","4"),ROW(INDIRECT("1:"&amp;LEN($Q196))),1))</f>
        <v>4,3</v>
      </c>
      <c r="S196" s="14">
        <v>1</v>
      </c>
      <c r="T196" s="14">
        <v>10</v>
      </c>
      <c r="U196" s="14" t="s">
        <v>51</v>
      </c>
      <c r="V196" s="14">
        <v>20201</v>
      </c>
      <c r="W196" s="14" t="s">
        <v>61</v>
      </c>
      <c r="Y196" s="14">
        <v>1</v>
      </c>
      <c r="Z196" s="14">
        <v>1</v>
      </c>
      <c r="AA196" s="14">
        <v>1</v>
      </c>
    </row>
    <row r="197" spans="1:27" x14ac:dyDescent="0.15">
      <c r="A197" s="15">
        <v>13054</v>
      </c>
      <c r="B197" s="15" t="s">
        <v>655</v>
      </c>
      <c r="C197" s="14">
        <v>3</v>
      </c>
      <c r="H197" s="16" t="s">
        <v>584</v>
      </c>
      <c r="L197" s="16" t="s">
        <v>656</v>
      </c>
      <c r="Q197" s="14" t="s">
        <v>609</v>
      </c>
      <c r="R197" s="14" t="str" cm="1">
        <f t="array" aca="1" ref="R197" ca="1">_xlfn.TEXTJOIN(",",TRUE,MID(SUBSTITUTE(SUBSTITUTE(SUBSTITUTE(SUBSTITUTE($Q197,"↑","1"),"↓","2"),"←","3"),"→","4"),ROW(INDIRECT("1:"&amp;LEN($Q197))),1))</f>
        <v>4,4</v>
      </c>
      <c r="S197" s="14">
        <v>1</v>
      </c>
      <c r="T197" s="14">
        <v>60</v>
      </c>
      <c r="U197" s="14" t="s">
        <v>51</v>
      </c>
      <c r="V197" s="14">
        <v>20305</v>
      </c>
      <c r="W197" s="14" t="s">
        <v>89</v>
      </c>
      <c r="Y197" s="14">
        <v>1</v>
      </c>
      <c r="Z197" s="14">
        <v>1</v>
      </c>
      <c r="AA197" s="14">
        <v>1</v>
      </c>
    </row>
    <row r="198" spans="1:27" x14ac:dyDescent="0.15">
      <c r="A198" s="15">
        <v>13055</v>
      </c>
      <c r="B198" s="15" t="s">
        <v>657</v>
      </c>
      <c r="C198" s="14">
        <v>3</v>
      </c>
      <c r="E198" s="16" t="s">
        <v>658</v>
      </c>
      <c r="H198" s="16" t="s">
        <v>659</v>
      </c>
      <c r="L198" s="16" t="s">
        <v>660</v>
      </c>
      <c r="Q198" s="14" t="s">
        <v>633</v>
      </c>
      <c r="R198" s="14" t="str" cm="1">
        <f t="array" aca="1" ref="R198" ca="1">_xlfn.TEXTJOIN(",",TRUE,MID(SUBSTITUTE(SUBSTITUTE(SUBSTITUTE(SUBSTITUTE($Q198,"↑","1"),"↓","2"),"←","3"),"→","4"),ROW(INDIRECT("1:"&amp;LEN($Q198))),1))</f>
        <v>4,4,2</v>
      </c>
      <c r="S198" s="14">
        <v>1</v>
      </c>
      <c r="T198" s="14">
        <v>50</v>
      </c>
      <c r="U198" s="14" t="s">
        <v>51</v>
      </c>
      <c r="V198" s="14">
        <v>20202</v>
      </c>
      <c r="W198" s="14" t="s">
        <v>52</v>
      </c>
      <c r="Y198" s="14">
        <v>1</v>
      </c>
      <c r="Z198" s="14">
        <v>1</v>
      </c>
      <c r="AA198" s="14">
        <v>1</v>
      </c>
    </row>
    <row r="199" spans="1:27" ht="33" x14ac:dyDescent="0.15">
      <c r="A199" s="15">
        <v>13056</v>
      </c>
      <c r="B199" s="15" t="s">
        <v>661</v>
      </c>
      <c r="C199" s="14">
        <v>3</v>
      </c>
      <c r="G199" s="16" t="s">
        <v>662</v>
      </c>
      <c r="H199" s="16" t="s">
        <v>663</v>
      </c>
      <c r="Q199" s="14" t="s">
        <v>664</v>
      </c>
      <c r="R199" s="14" t="str" cm="1">
        <f t="array" aca="1" ref="R199" ca="1">_xlfn.TEXTJOIN(",",TRUE,MID(SUBSTITUTE(SUBSTITUTE(SUBSTITUTE(SUBSTITUTE($Q199,"↑","1"),"↓","2"),"←","3"),"→","4"),ROW(INDIRECT("1:"&amp;LEN($Q199))),1))</f>
        <v>4,4,2,2</v>
      </c>
      <c r="S199" s="14">
        <v>1</v>
      </c>
      <c r="T199" s="14">
        <v>500</v>
      </c>
      <c r="U199" s="14" t="s">
        <v>51</v>
      </c>
      <c r="V199" s="14">
        <v>20001</v>
      </c>
      <c r="W199" s="14" t="s">
        <v>135</v>
      </c>
      <c r="Y199" s="14">
        <v>1</v>
      </c>
      <c r="Z199" s="14">
        <v>1</v>
      </c>
      <c r="AA199" s="14">
        <v>0</v>
      </c>
    </row>
    <row r="200" spans="1:27" x14ac:dyDescent="0.15">
      <c r="A200" s="15">
        <v>13057</v>
      </c>
      <c r="B200" s="15" t="s">
        <v>665</v>
      </c>
      <c r="C200" s="14">
        <v>3</v>
      </c>
      <c r="E200" s="16" t="s">
        <v>666</v>
      </c>
      <c r="H200" s="16" t="s">
        <v>667</v>
      </c>
      <c r="R200" s="14" t="e" cm="1">
        <f t="array" aca="1" ref="R200" ca="1">_xlfn.TEXTJOIN(",",TRUE,MID(SUBSTITUTE(SUBSTITUTE(SUBSTITUTE(SUBSTITUTE($Q200,"↑","1"),"↓","2"),"←","3"),"→","4"),ROW(INDIRECT("1:"&amp;LEN($Q200))),1))</f>
        <v>#REF!</v>
      </c>
      <c r="S200" s="14">
        <v>1</v>
      </c>
      <c r="V200" s="14">
        <v>20001</v>
      </c>
      <c r="W200" s="14" t="s">
        <v>135</v>
      </c>
      <c r="Y200" s="14">
        <v>1</v>
      </c>
      <c r="Z200" s="14">
        <v>1</v>
      </c>
      <c r="AA200" s="14">
        <v>0</v>
      </c>
    </row>
    <row r="201" spans="1:27" x14ac:dyDescent="0.15">
      <c r="A201" s="15">
        <v>13058</v>
      </c>
      <c r="B201" s="15" t="s">
        <v>668</v>
      </c>
      <c r="C201" s="14">
        <v>3</v>
      </c>
      <c r="H201" s="16" t="s">
        <v>669</v>
      </c>
      <c r="L201" s="16" t="s">
        <v>450</v>
      </c>
      <c r="O201" s="16">
        <v>800065</v>
      </c>
      <c r="P201" s="14">
        <v>12</v>
      </c>
      <c r="Q201" s="14" t="s">
        <v>670</v>
      </c>
      <c r="R201" s="14" t="str" cm="1">
        <f t="array" aca="1" ref="R201" ca="1">_xlfn.TEXTJOIN(",",TRUE,MID(SUBSTITUTE(SUBSTITUTE(SUBSTITUTE(SUBSTITUTE($Q201,"↑","1"),"↓","2"),"←","3"),"→","4"),ROW(INDIRECT("1:"&amp;LEN($Q201))),1))</f>
        <v>2,4,2,2</v>
      </c>
      <c r="S201" s="14">
        <v>1</v>
      </c>
      <c r="T201" s="14">
        <v>35</v>
      </c>
      <c r="U201" s="14" t="s">
        <v>51</v>
      </c>
      <c r="V201" s="14">
        <v>20204</v>
      </c>
      <c r="W201" s="14" t="s">
        <v>231</v>
      </c>
      <c r="Y201" s="14">
        <v>1</v>
      </c>
      <c r="Z201" s="14">
        <v>1</v>
      </c>
      <c r="AA201" s="14">
        <v>0</v>
      </c>
    </row>
    <row r="202" spans="1:27" x14ac:dyDescent="0.15">
      <c r="A202" s="15">
        <v>13059</v>
      </c>
      <c r="B202" s="15" t="s">
        <v>671</v>
      </c>
      <c r="C202" s="14">
        <v>3</v>
      </c>
      <c r="E202" s="16" t="s">
        <v>672</v>
      </c>
      <c r="H202" s="16" t="s">
        <v>673</v>
      </c>
      <c r="J202" s="16" t="s">
        <v>674</v>
      </c>
      <c r="N202" s="16" t="s">
        <v>76</v>
      </c>
      <c r="O202" s="16">
        <v>800066</v>
      </c>
      <c r="Q202" s="14" t="s">
        <v>308</v>
      </c>
      <c r="R202" s="14" t="str" cm="1">
        <f t="array" aca="1" ref="R202" ca="1">_xlfn.TEXTJOIN(",",TRUE,MID(SUBSTITUTE(SUBSTITUTE(SUBSTITUTE(SUBSTITUTE($Q202,"↑","1"),"↓","2"),"←","3"),"→","4"),ROW(INDIRECT("1:"&amp;LEN($Q202))),1))</f>
        <v>4,2,2</v>
      </c>
      <c r="S202" s="14">
        <v>1</v>
      </c>
      <c r="T202" s="14">
        <v>55</v>
      </c>
      <c r="U202" s="14" t="s">
        <v>51</v>
      </c>
      <c r="V202" s="14">
        <v>20204</v>
      </c>
      <c r="W202" s="14" t="s">
        <v>231</v>
      </c>
      <c r="Y202" s="14">
        <v>1</v>
      </c>
      <c r="Z202" s="14">
        <v>1</v>
      </c>
      <c r="AA202" s="14">
        <v>0</v>
      </c>
    </row>
    <row r="203" spans="1:27" x14ac:dyDescent="0.15">
      <c r="A203" s="15">
        <v>13060</v>
      </c>
      <c r="B203" s="15" t="s">
        <v>675</v>
      </c>
      <c r="C203" s="14">
        <v>3</v>
      </c>
      <c r="E203" s="16" t="s">
        <v>450</v>
      </c>
      <c r="H203" s="16" t="s">
        <v>676</v>
      </c>
      <c r="L203" s="16" t="s">
        <v>677</v>
      </c>
      <c r="O203" s="16">
        <v>800067</v>
      </c>
      <c r="R203" s="14" t="e" cm="1">
        <f t="array" aca="1" ref="R203" ca="1">_xlfn.TEXTJOIN(",",TRUE,MID(SUBSTITUTE(SUBSTITUTE(SUBSTITUTE(SUBSTITUTE($Q203,"↑","1"),"↓","2"),"←","3"),"→","4"),ROW(INDIRECT("1:"&amp;LEN($Q203))),1))</f>
        <v>#REF!</v>
      </c>
      <c r="S203" s="14">
        <v>1</v>
      </c>
      <c r="T203" s="14">
        <v>45</v>
      </c>
      <c r="U203" s="14" t="s">
        <v>51</v>
      </c>
      <c r="V203" s="14">
        <v>20204</v>
      </c>
      <c r="W203" s="14" t="s">
        <v>231</v>
      </c>
      <c r="Y203" s="14">
        <v>1</v>
      </c>
      <c r="Z203" s="14">
        <v>1</v>
      </c>
      <c r="AA203" s="14">
        <v>0</v>
      </c>
    </row>
    <row r="204" spans="1:27" ht="33" x14ac:dyDescent="0.15">
      <c r="A204" s="15">
        <v>13061</v>
      </c>
      <c r="B204" s="15" t="s">
        <v>678</v>
      </c>
      <c r="C204" s="14">
        <v>3</v>
      </c>
      <c r="E204" s="16" t="s">
        <v>679</v>
      </c>
      <c r="H204" s="16" t="s">
        <v>1084</v>
      </c>
      <c r="N204" s="16" t="s">
        <v>76</v>
      </c>
      <c r="Q204" s="14" t="s">
        <v>680</v>
      </c>
      <c r="R204" s="14" t="str" cm="1">
        <f t="array" aca="1" ref="R204" ca="1">_xlfn.TEXTJOIN(",",TRUE,MID(SUBSTITUTE(SUBSTITUTE(SUBSTITUTE(SUBSTITUTE($Q204,"↑","1"),"↓","2"),"←","3"),"→","4"),ROW(INDIRECT("1:"&amp;LEN($Q204))),1))</f>
        <v>3,2,4</v>
      </c>
      <c r="S204" s="14">
        <v>1</v>
      </c>
      <c r="T204" s="14">
        <v>60</v>
      </c>
      <c r="V204" s="14">
        <v>20205</v>
      </c>
      <c r="W204" s="14" t="s">
        <v>180</v>
      </c>
      <c r="Y204" s="14">
        <v>1</v>
      </c>
      <c r="Z204" s="14">
        <v>1</v>
      </c>
      <c r="AA204" s="14">
        <v>1</v>
      </c>
    </row>
    <row r="205" spans="1:27" ht="33" x14ac:dyDescent="0.15">
      <c r="A205" s="15">
        <v>13062</v>
      </c>
      <c r="B205" s="15" t="s">
        <v>681</v>
      </c>
      <c r="C205" s="14">
        <v>3</v>
      </c>
      <c r="H205" s="16" t="s">
        <v>682</v>
      </c>
      <c r="Q205" s="14" t="s">
        <v>683</v>
      </c>
      <c r="R205" s="14" t="str" cm="1">
        <f t="array" aca="1" ref="R205" ca="1">_xlfn.TEXTJOIN(",",TRUE,MID(SUBSTITUTE(SUBSTITUTE(SUBSTITUTE(SUBSTITUTE($Q205,"↑","1"),"↓","2"),"←","3"),"→","4"),ROW(INDIRECT("1:"&amp;LEN($Q205))),1))</f>
        <v>4,3,1,1</v>
      </c>
      <c r="S205" s="14">
        <v>1</v>
      </c>
      <c r="T205" s="14">
        <v>50</v>
      </c>
      <c r="V205" s="14">
        <v>20205</v>
      </c>
      <c r="W205" s="14" t="s">
        <v>180</v>
      </c>
      <c r="Y205" s="14">
        <v>1</v>
      </c>
      <c r="Z205" s="14">
        <v>1</v>
      </c>
      <c r="AA205" s="14">
        <v>1</v>
      </c>
    </row>
    <row r="206" spans="1:27" ht="33" x14ac:dyDescent="0.15">
      <c r="A206" s="15">
        <v>13063</v>
      </c>
      <c r="B206" s="15" t="s">
        <v>684</v>
      </c>
      <c r="C206" s="14">
        <v>3</v>
      </c>
      <c r="H206" s="16" t="s">
        <v>685</v>
      </c>
      <c r="P206" s="14">
        <v>9</v>
      </c>
      <c r="Q206" s="14" t="s">
        <v>686</v>
      </c>
      <c r="R206" s="14" t="str" cm="1">
        <f t="array" aca="1" ref="R206" ca="1">_xlfn.TEXTJOIN(",",TRUE,MID(SUBSTITUTE(SUBSTITUTE(SUBSTITUTE(SUBSTITUTE($Q206,"↑","1"),"↓","2"),"←","3"),"→","4"),ROW(INDIRECT("1:"&amp;LEN($Q206))),1))</f>
        <v>3,1,2,2</v>
      </c>
      <c r="S206" s="14">
        <v>1</v>
      </c>
      <c r="T206" s="14">
        <v>30</v>
      </c>
      <c r="V206" s="14">
        <v>20201</v>
      </c>
      <c r="W206" s="14" t="s">
        <v>61</v>
      </c>
      <c r="Y206" s="14">
        <v>1</v>
      </c>
      <c r="Z206" s="14">
        <v>1</v>
      </c>
      <c r="AA206" s="14">
        <v>1</v>
      </c>
    </row>
    <row r="207" spans="1:27" x14ac:dyDescent="0.15">
      <c r="A207" s="15">
        <v>13064</v>
      </c>
      <c r="B207" s="15" t="s">
        <v>687</v>
      </c>
      <c r="C207" s="14">
        <v>3</v>
      </c>
      <c r="E207" s="16" t="s">
        <v>382</v>
      </c>
      <c r="H207" s="16" t="s">
        <v>584</v>
      </c>
      <c r="J207" s="16" t="s">
        <v>688</v>
      </c>
      <c r="N207" s="16" t="s">
        <v>1096</v>
      </c>
      <c r="Q207" s="14" t="s">
        <v>175</v>
      </c>
      <c r="R207" s="14" t="str" cm="1">
        <f t="array" aca="1" ref="R207" ca="1">_xlfn.TEXTJOIN(",",TRUE,MID(SUBSTITUTE(SUBSTITUTE(SUBSTITUTE(SUBSTITUTE($Q207,"↑","1"),"↓","2"),"←","3"),"→","4"),ROW(INDIRECT("1:"&amp;LEN($Q207))),1))</f>
        <v>3,3,3</v>
      </c>
      <c r="S207" s="14">
        <v>1</v>
      </c>
      <c r="T207" s="14">
        <v>50</v>
      </c>
      <c r="V207" s="14">
        <v>20403</v>
      </c>
      <c r="W207" s="14" t="s">
        <v>192</v>
      </c>
      <c r="Y207" s="14">
        <v>1</v>
      </c>
      <c r="Z207" s="14">
        <v>1</v>
      </c>
      <c r="AA207" s="14">
        <v>1</v>
      </c>
    </row>
    <row r="208" spans="1:27" ht="33" x14ac:dyDescent="0.15">
      <c r="A208" s="15">
        <v>13065</v>
      </c>
      <c r="B208" s="15" t="s">
        <v>689</v>
      </c>
      <c r="C208" s="14">
        <v>3</v>
      </c>
      <c r="H208" s="16" t="s">
        <v>690</v>
      </c>
      <c r="J208" s="16" t="s">
        <v>691</v>
      </c>
      <c r="N208" s="16" t="s">
        <v>692</v>
      </c>
      <c r="O208" s="14">
        <v>1</v>
      </c>
      <c r="Q208" s="14" t="s">
        <v>693</v>
      </c>
      <c r="R208" s="14" t="str" cm="1">
        <f t="array" aca="1" ref="R208" ca="1">_xlfn.TEXTJOIN(",",TRUE,MID(SUBSTITUTE(SUBSTITUTE(SUBSTITUTE(SUBSTITUTE($Q208,"↑","1"),"↓","2"),"←","3"),"→","4"),ROW(INDIRECT("1:"&amp;LEN($Q208))),1))</f>
        <v>4,4,1,2,4</v>
      </c>
      <c r="S208" s="14">
        <v>1</v>
      </c>
      <c r="T208" s="14">
        <v>100</v>
      </c>
      <c r="V208" s="14">
        <v>20701</v>
      </c>
      <c r="W208" s="14" t="s">
        <v>293</v>
      </c>
      <c r="Y208" s="14">
        <v>1</v>
      </c>
      <c r="Z208" s="14">
        <v>1</v>
      </c>
      <c r="AA208" s="14">
        <v>1</v>
      </c>
    </row>
    <row r="209" spans="1:27" x14ac:dyDescent="0.15">
      <c r="A209" s="15">
        <v>13066</v>
      </c>
      <c r="B209" s="23" t="s">
        <v>694</v>
      </c>
      <c r="C209" s="14">
        <v>3</v>
      </c>
      <c r="G209" s="16" t="s">
        <v>695</v>
      </c>
      <c r="H209" s="16" t="s">
        <v>579</v>
      </c>
      <c r="J209" s="16" t="s">
        <v>696</v>
      </c>
      <c r="N209" s="16" t="s">
        <v>450</v>
      </c>
      <c r="O209" s="14">
        <v>1</v>
      </c>
      <c r="Q209" s="14" t="s">
        <v>313</v>
      </c>
      <c r="R209" s="14" t="str" cm="1">
        <f t="array" aca="1" ref="R209" ca="1">_xlfn.TEXTJOIN(",",TRUE,MID(SUBSTITUTE(SUBSTITUTE(SUBSTITUTE(SUBSTITUTE($Q209,"↑","1"),"↓","2"),"←","3"),"→","4"),ROW(INDIRECT("1:"&amp;LEN($Q209))),1))</f>
        <v>3,2,3</v>
      </c>
      <c r="S209" s="14">
        <v>1</v>
      </c>
      <c r="T209" s="14">
        <v>40</v>
      </c>
      <c r="V209" s="14">
        <v>20701</v>
      </c>
      <c r="W209" s="14" t="s">
        <v>293</v>
      </c>
      <c r="Y209" s="14">
        <v>1</v>
      </c>
      <c r="Z209" s="14">
        <v>1</v>
      </c>
      <c r="AA209" s="14">
        <v>1</v>
      </c>
    </row>
    <row r="210" spans="1:27" x14ac:dyDescent="0.15">
      <c r="A210" s="15">
        <v>13067</v>
      </c>
      <c r="B210" s="15" t="s">
        <v>697</v>
      </c>
      <c r="C210" s="14">
        <v>3</v>
      </c>
      <c r="E210" s="14"/>
      <c r="F210" s="14"/>
      <c r="G210" s="14"/>
      <c r="H210" s="14" t="s">
        <v>526</v>
      </c>
      <c r="I210" s="14"/>
      <c r="J210" s="14"/>
      <c r="K210" s="14"/>
      <c r="L210" s="14" t="s">
        <v>698</v>
      </c>
      <c r="M210" s="14"/>
      <c r="N210" s="14"/>
      <c r="Q210" s="14" t="s">
        <v>699</v>
      </c>
      <c r="R210" s="14" t="str" cm="1">
        <f t="array" aca="1" ref="R210" ca="1">_xlfn.TEXTJOIN(",",TRUE,MID(SUBSTITUTE(SUBSTITUTE(SUBSTITUTE(SUBSTITUTE($Q210,"↑","1"),"↓","2"),"←","3"),"→","4"),ROW(INDIRECT("1:"&amp;LEN($Q210))),1))</f>
        <v>2,2,4</v>
      </c>
      <c r="S210" s="14">
        <v>1</v>
      </c>
      <c r="T210" s="14">
        <v>10</v>
      </c>
      <c r="V210" s="14">
        <v>20205</v>
      </c>
      <c r="W210" s="14" t="s">
        <v>180</v>
      </c>
      <c r="Y210" s="14">
        <v>1</v>
      </c>
      <c r="Z210" s="14">
        <v>1</v>
      </c>
      <c r="AA210" s="14">
        <v>1</v>
      </c>
    </row>
    <row r="211" spans="1:27" x14ac:dyDescent="0.15">
      <c r="A211" s="15">
        <v>13068</v>
      </c>
      <c r="B211" s="15" t="s">
        <v>700</v>
      </c>
      <c r="C211" s="14">
        <v>3</v>
      </c>
      <c r="E211" s="14" t="s">
        <v>701</v>
      </c>
      <c r="F211" s="14"/>
      <c r="H211" s="14" t="s">
        <v>702</v>
      </c>
      <c r="I211" s="14"/>
      <c r="J211" s="14"/>
      <c r="K211" s="14"/>
      <c r="L211" s="14"/>
      <c r="M211" s="14"/>
      <c r="N211" s="14"/>
      <c r="Q211" s="14" t="s">
        <v>313</v>
      </c>
      <c r="R211" s="14" t="str" cm="1">
        <f t="array" aca="1" ref="R211" ca="1">_xlfn.TEXTJOIN(",",TRUE,MID(SUBSTITUTE(SUBSTITUTE(SUBSTITUTE(SUBSTITUTE($Q211,"↑","1"),"↓","2"),"←","3"),"→","4"),ROW(INDIRECT("1:"&amp;LEN($Q211))),1))</f>
        <v>3,2,3</v>
      </c>
      <c r="S211" s="14">
        <v>1</v>
      </c>
      <c r="T211" s="14">
        <v>5</v>
      </c>
      <c r="V211" s="14">
        <v>20205</v>
      </c>
      <c r="W211" s="14" t="s">
        <v>180</v>
      </c>
      <c r="Y211" s="14">
        <v>1</v>
      </c>
      <c r="Z211" s="14">
        <v>1</v>
      </c>
      <c r="AA211" s="14">
        <v>1</v>
      </c>
    </row>
    <row r="212" spans="1:27" x14ac:dyDescent="0.15">
      <c r="A212" s="15">
        <v>13069</v>
      </c>
      <c r="B212" s="15" t="s">
        <v>703</v>
      </c>
      <c r="C212" s="14">
        <v>3</v>
      </c>
      <c r="E212" s="14"/>
      <c r="F212" s="14"/>
      <c r="G212" s="14"/>
      <c r="H212" s="14" t="s">
        <v>704</v>
      </c>
      <c r="I212" s="14"/>
      <c r="J212" s="14" t="s">
        <v>705</v>
      </c>
      <c r="K212" s="14"/>
      <c r="L212" s="14"/>
      <c r="M212" s="14"/>
      <c r="N212" s="14"/>
      <c r="Q212" s="14" t="s">
        <v>706</v>
      </c>
      <c r="R212" s="14" t="str" cm="1">
        <f t="array" aca="1" ref="R212" ca="1">_xlfn.TEXTJOIN(",",TRUE,MID(SUBSTITUTE(SUBSTITUTE(SUBSTITUTE(SUBSTITUTE($Q212,"↑","1"),"↓","2"),"←","3"),"→","4"),ROW(INDIRECT("1:"&amp;LEN($Q212))),1))</f>
        <v>3,3,2,4</v>
      </c>
      <c r="S212" s="14">
        <v>1</v>
      </c>
      <c r="T212" s="14">
        <v>25</v>
      </c>
      <c r="V212" s="14">
        <v>20205</v>
      </c>
      <c r="W212" s="14" t="s">
        <v>180</v>
      </c>
      <c r="Y212" s="14">
        <v>1</v>
      </c>
      <c r="Z212" s="14">
        <v>1</v>
      </c>
      <c r="AA212" s="14">
        <v>1</v>
      </c>
    </row>
    <row r="213" spans="1:27" x14ac:dyDescent="0.15">
      <c r="A213" s="15">
        <v>13070</v>
      </c>
      <c r="B213" s="15" t="s">
        <v>707</v>
      </c>
      <c r="C213" s="14">
        <v>3</v>
      </c>
      <c r="E213" s="14"/>
      <c r="F213" s="14"/>
      <c r="G213" s="14"/>
      <c r="H213" s="14" t="s">
        <v>514</v>
      </c>
      <c r="I213" s="14"/>
      <c r="J213" s="14" t="s">
        <v>708</v>
      </c>
      <c r="K213" s="14"/>
      <c r="L213" s="14" t="s">
        <v>450</v>
      </c>
      <c r="M213" s="14"/>
      <c r="N213" s="14"/>
      <c r="P213" s="14">
        <v>2</v>
      </c>
      <c r="Q213" s="14" t="s">
        <v>709</v>
      </c>
      <c r="R213" s="14" t="str" cm="1">
        <f t="array" aca="1" ref="R213" ca="1">_xlfn.TEXTJOIN(",",TRUE,MID(SUBSTITUTE(SUBSTITUTE(SUBSTITUTE(SUBSTITUTE($Q213,"↑","1"),"↓","2"),"←","3"),"→","4"),ROW(INDIRECT("1:"&amp;LEN($Q213))),1))</f>
        <v>2,4,4,1</v>
      </c>
      <c r="S213" s="14">
        <v>1</v>
      </c>
      <c r="T213" s="14">
        <v>15</v>
      </c>
      <c r="V213" s="14">
        <v>20205</v>
      </c>
      <c r="W213" s="14" t="s">
        <v>180</v>
      </c>
      <c r="Y213" s="14">
        <v>1</v>
      </c>
      <c r="Z213" s="14">
        <v>1</v>
      </c>
      <c r="AA213" s="14">
        <v>1</v>
      </c>
    </row>
    <row r="214" spans="1:27" ht="49.5" x14ac:dyDescent="0.15">
      <c r="A214" s="15">
        <v>13071</v>
      </c>
      <c r="B214" s="15" t="s">
        <v>710</v>
      </c>
      <c r="C214" s="14">
        <v>3</v>
      </c>
      <c r="E214" s="16" t="s">
        <v>711</v>
      </c>
      <c r="G214" s="16" t="s">
        <v>712</v>
      </c>
      <c r="R214" s="14" t="e" cm="1">
        <f t="array" aca="1" ref="R214" ca="1">_xlfn.TEXTJOIN(",",TRUE,MID(SUBSTITUTE(SUBSTITUTE(SUBSTITUTE(SUBSTITUTE($Q214,"↑","1"),"↓","2"),"←","3"),"→","4"),ROW(INDIRECT("1:"&amp;LEN($Q214))),1))</f>
        <v>#REF!</v>
      </c>
      <c r="S214" s="14">
        <v>1</v>
      </c>
      <c r="V214" s="14">
        <v>20402</v>
      </c>
      <c r="W214" s="14" t="s">
        <v>713</v>
      </c>
      <c r="Y214" s="14">
        <v>1</v>
      </c>
      <c r="Z214" s="14">
        <v>1</v>
      </c>
      <c r="AA214" s="14">
        <v>1</v>
      </c>
    </row>
    <row r="215" spans="1:27" ht="33" x14ac:dyDescent="0.15">
      <c r="A215" s="15">
        <v>13072</v>
      </c>
      <c r="B215" s="15" t="s">
        <v>714</v>
      </c>
      <c r="C215" s="14">
        <v>3</v>
      </c>
      <c r="E215" s="16" t="s">
        <v>715</v>
      </c>
      <c r="H215" s="16" t="s">
        <v>716</v>
      </c>
      <c r="O215" s="14">
        <v>7</v>
      </c>
      <c r="R215" s="14" t="e" cm="1">
        <f t="array" aca="1" ref="R215" ca="1">_xlfn.TEXTJOIN(",",TRUE,MID(SUBSTITUTE(SUBSTITUTE(SUBSTITUTE(SUBSTITUTE($Q215,"↑","1"),"↓","2"),"←","3"),"→","4"),ROW(INDIRECT("1:"&amp;LEN($Q215))),1))</f>
        <v>#REF!</v>
      </c>
      <c r="S215" s="14">
        <v>1</v>
      </c>
      <c r="T215" s="14">
        <v>85</v>
      </c>
      <c r="V215" s="14">
        <v>20701</v>
      </c>
      <c r="W215" s="14" t="s">
        <v>293</v>
      </c>
      <c r="Y215" s="14">
        <v>1</v>
      </c>
      <c r="Z215" s="14">
        <v>1</v>
      </c>
      <c r="AA215" s="14">
        <v>1</v>
      </c>
    </row>
    <row r="216" spans="1:27" x14ac:dyDescent="0.15">
      <c r="A216" s="15">
        <v>13073</v>
      </c>
      <c r="C216" s="14">
        <v>3</v>
      </c>
      <c r="G216" s="16" t="s">
        <v>717</v>
      </c>
      <c r="H216" s="16" t="s">
        <v>519</v>
      </c>
      <c r="L216" s="16" t="s">
        <v>517</v>
      </c>
      <c r="N216" s="16" t="s">
        <v>718</v>
      </c>
      <c r="O216" s="14">
        <v>1</v>
      </c>
      <c r="P216" s="14">
        <v>6</v>
      </c>
      <c r="Q216" s="14" t="s">
        <v>259</v>
      </c>
      <c r="R216" s="14" t="str" cm="1">
        <f t="array" aca="1" ref="R216" ca="1">_xlfn.TEXTJOIN(",",TRUE,MID(SUBSTITUTE(SUBSTITUTE(SUBSTITUTE(SUBSTITUTE($Q216,"↑","1"),"↓","2"),"←","3"),"→","4"),ROW(INDIRECT("1:"&amp;LEN($Q216))),1))</f>
        <v>4,1,2</v>
      </c>
      <c r="T216" s="14">
        <v>30</v>
      </c>
      <c r="U216" s="1" t="s">
        <v>51</v>
      </c>
      <c r="V216" s="14">
        <v>20507</v>
      </c>
      <c r="W216" s="14" t="s">
        <v>442</v>
      </c>
      <c r="Y216" s="14">
        <v>1</v>
      </c>
      <c r="Z216" s="14">
        <v>1</v>
      </c>
      <c r="AA216" s="14">
        <v>1</v>
      </c>
    </row>
    <row r="217" spans="1:27" ht="33" x14ac:dyDescent="0.15">
      <c r="A217" s="15">
        <v>13074</v>
      </c>
      <c r="C217" s="14">
        <v>3</v>
      </c>
      <c r="E217" s="16" t="s">
        <v>522</v>
      </c>
      <c r="H217" s="16" t="s">
        <v>516</v>
      </c>
      <c r="L217" s="16" t="s">
        <v>1090</v>
      </c>
      <c r="N217" s="16" t="s">
        <v>76</v>
      </c>
      <c r="O217" s="14">
        <v>1</v>
      </c>
      <c r="P217" s="14">
        <v>6</v>
      </c>
      <c r="Q217" s="14" t="s">
        <v>719</v>
      </c>
      <c r="R217" s="14" t="str" cm="1">
        <f t="array" aca="1" ref="R217" ca="1">_xlfn.TEXTJOIN(",",TRUE,MID(SUBSTITUTE(SUBSTITUTE(SUBSTITUTE(SUBSTITUTE($Q217,"↑","1"),"↓","2"),"←","3"),"→","4"),ROW(INDIRECT("1:"&amp;LEN($Q217))),1))</f>
        <v>1,4</v>
      </c>
      <c r="T217" s="14">
        <v>10</v>
      </c>
      <c r="U217" s="1" t="s">
        <v>51</v>
      </c>
      <c r="V217" s="14">
        <v>20507</v>
      </c>
      <c r="W217" s="14" t="s">
        <v>442</v>
      </c>
      <c r="Y217" s="14">
        <v>1</v>
      </c>
      <c r="Z217" s="14">
        <v>1</v>
      </c>
      <c r="AA217" s="14">
        <v>1</v>
      </c>
    </row>
    <row r="218" spans="1:27" ht="33" x14ac:dyDescent="0.15">
      <c r="A218" s="15">
        <v>13075</v>
      </c>
      <c r="B218" s="15" t="s">
        <v>720</v>
      </c>
      <c r="C218" s="14">
        <v>3</v>
      </c>
      <c r="G218" s="16" t="s">
        <v>721</v>
      </c>
      <c r="H218" s="16" t="s">
        <v>579</v>
      </c>
      <c r="L218" s="16" t="s">
        <v>722</v>
      </c>
      <c r="O218" s="14">
        <v>1</v>
      </c>
      <c r="P218" s="14">
        <v>3</v>
      </c>
      <c r="Q218" s="14" t="s">
        <v>439</v>
      </c>
      <c r="R218" s="14" t="str" cm="1">
        <f t="array" aca="1" ref="R218" ca="1">_xlfn.TEXTJOIN(",",TRUE,MID(SUBSTITUTE(SUBSTITUTE(SUBSTITUTE(SUBSTITUTE($Q218,"↑","1"),"↓","2"),"←","3"),"→","4"),ROW(INDIRECT("1:"&amp;LEN($Q218))),1))</f>
        <v>2,4,4</v>
      </c>
      <c r="T218" s="14">
        <v>25</v>
      </c>
      <c r="U218" s="1" t="s">
        <v>51</v>
      </c>
      <c r="V218" s="14">
        <v>20507</v>
      </c>
      <c r="W218" s="14" t="s">
        <v>442</v>
      </c>
      <c r="Y218" s="14">
        <v>1</v>
      </c>
      <c r="Z218" s="14">
        <v>1</v>
      </c>
      <c r="AA218" s="14">
        <v>1</v>
      </c>
    </row>
    <row r="219" spans="1:27" ht="33" x14ac:dyDescent="0.15">
      <c r="A219" s="15">
        <v>13076</v>
      </c>
      <c r="C219" s="14">
        <v>3</v>
      </c>
      <c r="H219" s="16" t="s">
        <v>1093</v>
      </c>
      <c r="L219" s="16" t="s">
        <v>450</v>
      </c>
      <c r="O219" s="14">
        <v>1</v>
      </c>
      <c r="P219" s="14">
        <v>5</v>
      </c>
      <c r="Q219" s="14" t="s">
        <v>323</v>
      </c>
      <c r="R219" s="14" t="str" cm="1">
        <f t="array" aca="1" ref="R219" ca="1">_xlfn.TEXTJOIN(",",TRUE,MID(SUBSTITUTE(SUBSTITUTE(SUBSTITUTE(SUBSTITUTE($Q219,"↑","1"),"↓","2"),"←","3"),"→","4"),ROW(INDIRECT("1:"&amp;LEN($Q219))),1))</f>
        <v>4,3,3</v>
      </c>
      <c r="T219" s="14">
        <v>40</v>
      </c>
      <c r="U219" s="1" t="s">
        <v>51</v>
      </c>
      <c r="V219" s="14">
        <v>20507</v>
      </c>
      <c r="W219" s="14" t="s">
        <v>442</v>
      </c>
      <c r="Y219" s="14">
        <v>1</v>
      </c>
      <c r="Z219" s="14">
        <v>1</v>
      </c>
      <c r="AA219" s="14">
        <v>1</v>
      </c>
    </row>
    <row r="220" spans="1:27" ht="33" x14ac:dyDescent="0.15">
      <c r="A220" s="15">
        <v>13077</v>
      </c>
      <c r="C220" s="14">
        <v>3</v>
      </c>
      <c r="H220" s="16" t="s">
        <v>723</v>
      </c>
      <c r="O220" s="14">
        <v>4</v>
      </c>
      <c r="P220" s="14">
        <v>999</v>
      </c>
      <c r="Q220" s="14" t="s">
        <v>724</v>
      </c>
      <c r="R220" s="14" t="str" cm="1">
        <f t="array" aca="1" ref="R220" ca="1">_xlfn.TEXTJOIN(",",TRUE,MID(SUBSTITUTE(SUBSTITUTE(SUBSTITUTE(SUBSTITUTE($Q220,"↑","1"),"↓","2"),"←","3"),"→","4"),ROW(INDIRECT("1:"&amp;LEN($Q220))),1))</f>
        <v>2,1,1,4</v>
      </c>
      <c r="T220" s="14">
        <v>65</v>
      </c>
      <c r="U220" s="1" t="s">
        <v>51</v>
      </c>
      <c r="V220" s="14">
        <v>20507</v>
      </c>
      <c r="W220" s="14" t="s">
        <v>442</v>
      </c>
      <c r="Y220" s="14">
        <v>1</v>
      </c>
      <c r="Z220" s="14">
        <v>1</v>
      </c>
      <c r="AA220" s="14">
        <v>0</v>
      </c>
    </row>
    <row r="221" spans="1:27" x14ac:dyDescent="0.15">
      <c r="A221" s="15">
        <v>13078</v>
      </c>
      <c r="C221" s="14">
        <v>3</v>
      </c>
      <c r="H221" s="16" t="s">
        <v>725</v>
      </c>
      <c r="O221" s="14">
        <v>5</v>
      </c>
      <c r="P221" s="14">
        <v>999</v>
      </c>
      <c r="Q221" s="14" t="s">
        <v>726</v>
      </c>
      <c r="R221" s="14" t="str" cm="1">
        <f t="array" aca="1" ref="R221" ca="1">_xlfn.TEXTJOIN(",",TRUE,MID(SUBSTITUTE(SUBSTITUTE(SUBSTITUTE(SUBSTITUTE($Q221,"↑","1"),"↓","2"),"←","3"),"→","4"),ROW(INDIRECT("1:"&amp;LEN($Q221))),1))</f>
        <v>2,3,2,1</v>
      </c>
      <c r="T221" s="14">
        <v>35</v>
      </c>
      <c r="U221" s="1" t="s">
        <v>51</v>
      </c>
      <c r="V221" s="14">
        <v>20507</v>
      </c>
      <c r="W221" s="14" t="s">
        <v>442</v>
      </c>
      <c r="Y221" s="14">
        <v>1</v>
      </c>
      <c r="Z221" s="14">
        <v>1</v>
      </c>
      <c r="AA221" s="14">
        <v>0</v>
      </c>
    </row>
    <row r="222" spans="1:27" x14ac:dyDescent="0.15">
      <c r="A222" s="15">
        <v>13079</v>
      </c>
      <c r="C222" s="14">
        <v>3</v>
      </c>
      <c r="E222" s="16" t="s">
        <v>727</v>
      </c>
      <c r="G222" s="16" t="s">
        <v>169</v>
      </c>
      <c r="H222" s="16" t="s">
        <v>728</v>
      </c>
      <c r="L222" s="16" t="s">
        <v>729</v>
      </c>
      <c r="O222" s="14">
        <v>4</v>
      </c>
      <c r="P222" s="14">
        <v>999</v>
      </c>
      <c r="Q222" s="14" t="s">
        <v>70</v>
      </c>
      <c r="R222" s="14" t="str" cm="1">
        <f t="array" aca="1" ref="R222" ca="1">_xlfn.TEXTJOIN(",",TRUE,MID(SUBSTITUTE(SUBSTITUTE(SUBSTITUTE(SUBSTITUTE($Q222,"↑","1"),"↓","2"),"←","3"),"→","4"),ROW(INDIRECT("1:"&amp;LEN($Q222))),1))</f>
        <v>2,2,3</v>
      </c>
      <c r="T222" s="14">
        <v>50</v>
      </c>
      <c r="U222" s="1" t="s">
        <v>51</v>
      </c>
      <c r="V222" s="14">
        <v>20507</v>
      </c>
      <c r="W222" s="14" t="s">
        <v>442</v>
      </c>
      <c r="Y222" s="14">
        <v>1</v>
      </c>
      <c r="Z222" s="14">
        <v>1</v>
      </c>
      <c r="AA222" s="14">
        <v>0</v>
      </c>
    </row>
    <row r="223" spans="1:27" x14ac:dyDescent="0.15">
      <c r="A223" s="15">
        <v>13080</v>
      </c>
      <c r="C223" s="14">
        <v>3</v>
      </c>
      <c r="H223" s="16" t="s">
        <v>730</v>
      </c>
      <c r="J223" s="16" t="s">
        <v>731</v>
      </c>
      <c r="N223" s="16" t="s">
        <v>732</v>
      </c>
      <c r="O223" s="14">
        <v>7</v>
      </c>
      <c r="P223" s="14">
        <v>6</v>
      </c>
      <c r="Q223" s="14" t="s">
        <v>114</v>
      </c>
      <c r="R223" s="14" t="str" cm="1">
        <f t="array" aca="1" ref="R223" ca="1">_xlfn.TEXTJOIN(",",TRUE,MID(SUBSTITUTE(SUBSTITUTE(SUBSTITUTE(SUBSTITUTE($Q223,"↑","1"),"↓","2"),"←","3"),"→","4"),ROW(INDIRECT("1:"&amp;LEN($Q223))),1))</f>
        <v>3,1,3</v>
      </c>
      <c r="T223" s="14">
        <v>30</v>
      </c>
      <c r="U223" s="1" t="s">
        <v>51</v>
      </c>
      <c r="V223" s="14">
        <v>20507</v>
      </c>
      <c r="W223" s="14" t="s">
        <v>442</v>
      </c>
      <c r="Y223" s="14">
        <v>1</v>
      </c>
      <c r="Z223" s="14">
        <v>1</v>
      </c>
      <c r="AA223" s="14">
        <v>1</v>
      </c>
    </row>
    <row r="224" spans="1:27" ht="33" x14ac:dyDescent="0.15">
      <c r="A224" s="15">
        <v>13081</v>
      </c>
      <c r="B224" s="15" t="s">
        <v>733</v>
      </c>
      <c r="C224" s="14">
        <v>3</v>
      </c>
      <c r="H224" s="16" t="s">
        <v>734</v>
      </c>
      <c r="Q224" s="14" t="s">
        <v>365</v>
      </c>
      <c r="R224" s="14" t="str" cm="1">
        <f t="array" aca="1" ref="R224" ca="1">_xlfn.TEXTJOIN(",",TRUE,MID(SUBSTITUTE(SUBSTITUTE(SUBSTITUTE(SUBSTITUTE($Q224,"↑","1"),"↓","2"),"←","3"),"→","4"),ROW(INDIRECT("1:"&amp;LEN($Q224))),1))</f>
        <v>3,4</v>
      </c>
      <c r="S224" s="14">
        <v>1</v>
      </c>
      <c r="T224" s="14">
        <v>40</v>
      </c>
      <c r="V224" s="14">
        <v>20303</v>
      </c>
      <c r="W224" s="14" t="s">
        <v>83</v>
      </c>
      <c r="Y224" s="14">
        <v>1</v>
      </c>
      <c r="Z224" s="14">
        <v>1</v>
      </c>
      <c r="AA224" s="14">
        <v>1</v>
      </c>
    </row>
    <row r="225" spans="1:27" x14ac:dyDescent="0.15">
      <c r="A225" s="15">
        <v>13082</v>
      </c>
      <c r="C225" s="14">
        <v>3</v>
      </c>
      <c r="H225" s="16" t="s">
        <v>735</v>
      </c>
      <c r="N225" s="16" t="s">
        <v>736</v>
      </c>
      <c r="O225" s="14">
        <v>5</v>
      </c>
      <c r="P225" s="14">
        <v>6</v>
      </c>
      <c r="Q225" s="14" t="s">
        <v>737</v>
      </c>
      <c r="R225" s="14" t="str" cm="1">
        <f t="array" aca="1" ref="R225" ca="1">_xlfn.TEXTJOIN(",",TRUE,MID(SUBSTITUTE(SUBSTITUTE(SUBSTITUTE(SUBSTITUTE($Q225,"↑","1"),"↓","2"),"←","3"),"→","4"),ROW(INDIRECT("1:"&amp;LEN($Q225))),1))</f>
        <v>4,1,1</v>
      </c>
      <c r="T225" s="14">
        <v>25</v>
      </c>
      <c r="U225" s="1" t="s">
        <v>51</v>
      </c>
      <c r="V225" s="14">
        <v>20507</v>
      </c>
      <c r="W225" s="14" t="s">
        <v>442</v>
      </c>
      <c r="Y225" s="14">
        <v>1</v>
      </c>
      <c r="Z225" s="14">
        <v>1</v>
      </c>
      <c r="AA225" s="14">
        <v>1</v>
      </c>
    </row>
    <row r="226" spans="1:27" x14ac:dyDescent="0.15">
      <c r="A226" s="15">
        <v>13083</v>
      </c>
      <c r="B226" s="15" t="s">
        <v>738</v>
      </c>
      <c r="C226" s="14">
        <v>3</v>
      </c>
      <c r="H226" s="16" t="s">
        <v>739</v>
      </c>
      <c r="J226" s="16" t="s">
        <v>740</v>
      </c>
      <c r="P226" s="14">
        <v>999</v>
      </c>
      <c r="R226" s="14" t="e" cm="1">
        <f t="array" aca="1" ref="R226" ca="1">_xlfn.TEXTJOIN(",",TRUE,MID(SUBSTITUTE(SUBSTITUTE(SUBSTITUTE(SUBSTITUTE($Q226,"↑","1"),"↓","2"),"←","3"),"→","4"),ROW(INDIRECT("1:"&amp;LEN($Q226))),1))</f>
        <v>#REF!</v>
      </c>
      <c r="S226" s="14">
        <v>1</v>
      </c>
      <c r="V226" s="14">
        <v>20001</v>
      </c>
      <c r="W226" s="14" t="s">
        <v>135</v>
      </c>
      <c r="Y226" s="14">
        <v>1</v>
      </c>
      <c r="Z226" s="14">
        <v>1</v>
      </c>
      <c r="AA226" s="14">
        <v>0</v>
      </c>
    </row>
    <row r="227" spans="1:27" ht="33" x14ac:dyDescent="0.15">
      <c r="A227" s="15">
        <v>13084</v>
      </c>
      <c r="B227" s="15" t="s">
        <v>741</v>
      </c>
      <c r="C227" s="14">
        <v>3</v>
      </c>
      <c r="H227" s="16" t="s">
        <v>1085</v>
      </c>
      <c r="P227" s="14">
        <v>999</v>
      </c>
      <c r="R227" s="14" t="e" cm="1">
        <f t="array" aca="1" ref="R227" ca="1">_xlfn.TEXTJOIN(",",TRUE,MID(SUBSTITUTE(SUBSTITUTE(SUBSTITUTE(SUBSTITUTE($Q227,"↑","1"),"↓","2"),"←","3"),"→","4"),ROW(INDIRECT("1:"&amp;LEN($Q227))),1))</f>
        <v>#REF!</v>
      </c>
      <c r="S227" s="14">
        <v>1</v>
      </c>
      <c r="V227" s="14">
        <v>20001</v>
      </c>
      <c r="W227" s="14" t="s">
        <v>135</v>
      </c>
      <c r="Y227" s="14">
        <v>1</v>
      </c>
      <c r="Z227" s="14">
        <v>1</v>
      </c>
      <c r="AA227" s="14">
        <v>0</v>
      </c>
    </row>
    <row r="228" spans="1:27" ht="33" x14ac:dyDescent="0.15">
      <c r="A228" s="15">
        <v>13085</v>
      </c>
      <c r="B228" s="15" t="s">
        <v>742</v>
      </c>
      <c r="C228" s="14">
        <v>3</v>
      </c>
      <c r="G228" s="16" t="s">
        <v>169</v>
      </c>
      <c r="H228" s="16" t="s">
        <v>743</v>
      </c>
      <c r="J228" s="16" t="s">
        <v>744</v>
      </c>
      <c r="P228" s="14">
        <v>999</v>
      </c>
      <c r="R228" s="14" t="e" cm="1">
        <f t="array" aca="1" ref="R228" ca="1">_xlfn.TEXTJOIN(",",TRUE,MID(SUBSTITUTE(SUBSTITUTE(SUBSTITUTE(SUBSTITUTE($Q228,"↑","1"),"↓","2"),"←","3"),"→","4"),ROW(INDIRECT("1:"&amp;LEN($Q228))),1))</f>
        <v>#REF!</v>
      </c>
      <c r="S228" s="14">
        <v>1</v>
      </c>
      <c r="V228" s="14">
        <v>20001</v>
      </c>
      <c r="W228" s="14" t="s">
        <v>135</v>
      </c>
      <c r="Y228" s="14">
        <v>2</v>
      </c>
      <c r="Z228" s="14">
        <v>1</v>
      </c>
      <c r="AA228" s="14">
        <v>0</v>
      </c>
    </row>
    <row r="229" spans="1:27" ht="33" x14ac:dyDescent="0.15">
      <c r="A229" s="15">
        <v>13086</v>
      </c>
      <c r="B229" s="15" t="s">
        <v>745</v>
      </c>
      <c r="C229" s="14">
        <v>3</v>
      </c>
      <c r="H229" s="14" t="s">
        <v>519</v>
      </c>
      <c r="I229" s="14"/>
      <c r="J229" s="14"/>
      <c r="L229" s="16" t="s">
        <v>746</v>
      </c>
      <c r="P229" s="14">
        <v>999</v>
      </c>
      <c r="R229" s="14" t="e" cm="1">
        <f t="array" aca="1" ref="R229" ca="1">_xlfn.TEXTJOIN(",",TRUE,MID(SUBSTITUTE(SUBSTITUTE(SUBSTITUTE(SUBSTITUTE($Q229,"↑","1"),"↓","2"),"←","3"),"→","4"),ROW(INDIRECT("1:"&amp;LEN($Q229))),1))</f>
        <v>#REF!</v>
      </c>
      <c r="S229" s="14">
        <v>1</v>
      </c>
      <c r="V229" s="14">
        <v>20001</v>
      </c>
      <c r="W229" s="14" t="s">
        <v>135</v>
      </c>
      <c r="Y229" s="14">
        <v>1</v>
      </c>
      <c r="Z229" s="14">
        <v>1</v>
      </c>
      <c r="AA229" s="14">
        <v>0</v>
      </c>
    </row>
    <row r="230" spans="1:27" ht="33" x14ac:dyDescent="0.15">
      <c r="A230" s="15">
        <v>13087</v>
      </c>
      <c r="B230" s="15" t="s">
        <v>747</v>
      </c>
      <c r="C230" s="14">
        <v>3</v>
      </c>
      <c r="H230" s="16" t="s">
        <v>748</v>
      </c>
      <c r="P230" s="14">
        <v>999</v>
      </c>
      <c r="R230" s="14" t="e" cm="1">
        <f t="array" aca="1" ref="R230" ca="1">_xlfn.TEXTJOIN(",",TRUE,MID(SUBSTITUTE(SUBSTITUTE(SUBSTITUTE(SUBSTITUTE($Q230,"↑","1"),"↓","2"),"←","3"),"→","4"),ROW(INDIRECT("1:"&amp;LEN($Q230))),1))</f>
        <v>#REF!</v>
      </c>
      <c r="S230" s="14">
        <v>1</v>
      </c>
      <c r="V230" s="14">
        <v>20001</v>
      </c>
      <c r="W230" s="14" t="s">
        <v>135</v>
      </c>
      <c r="Y230" s="14">
        <v>1</v>
      </c>
      <c r="Z230" s="14">
        <v>1</v>
      </c>
      <c r="AA230" s="14">
        <v>0</v>
      </c>
    </row>
    <row r="231" spans="1:27" ht="33" x14ac:dyDescent="0.15">
      <c r="A231" s="15">
        <v>13088</v>
      </c>
      <c r="B231" s="15" t="s">
        <v>749</v>
      </c>
      <c r="C231" s="14">
        <v>3</v>
      </c>
      <c r="H231" s="16" t="s">
        <v>750</v>
      </c>
      <c r="L231" s="16" t="s">
        <v>359</v>
      </c>
      <c r="P231" s="14">
        <v>999</v>
      </c>
      <c r="R231" s="14" t="e" cm="1">
        <f t="array" aca="1" ref="R231" ca="1">_xlfn.TEXTJOIN(",",TRUE,MID(SUBSTITUTE(SUBSTITUTE(SUBSTITUTE(SUBSTITUTE($Q231,"↑","1"),"↓","2"),"←","3"),"→","4"),ROW(INDIRECT("1:"&amp;LEN($Q231))),1))</f>
        <v>#REF!</v>
      </c>
      <c r="S231" s="14">
        <v>1</v>
      </c>
      <c r="V231" s="14">
        <v>20001</v>
      </c>
      <c r="W231" s="14" t="s">
        <v>135</v>
      </c>
      <c r="Y231" s="14">
        <v>1</v>
      </c>
      <c r="Z231" s="14">
        <v>1</v>
      </c>
      <c r="AA231" s="14">
        <v>0</v>
      </c>
    </row>
    <row r="232" spans="1:27" ht="33" x14ac:dyDescent="0.15">
      <c r="A232" s="15">
        <v>13089</v>
      </c>
      <c r="B232" s="15" t="s">
        <v>751</v>
      </c>
      <c r="C232" s="14">
        <v>3</v>
      </c>
      <c r="H232" s="16" t="s">
        <v>752</v>
      </c>
      <c r="P232" s="14">
        <v>999</v>
      </c>
      <c r="R232" s="14" t="e" cm="1">
        <f t="array" aca="1" ref="R232" ca="1">_xlfn.TEXTJOIN(",",TRUE,MID(SUBSTITUTE(SUBSTITUTE(SUBSTITUTE(SUBSTITUTE($Q232,"↑","1"),"↓","2"),"←","3"),"→","4"),ROW(INDIRECT("1:"&amp;LEN($Q232))),1))</f>
        <v>#REF!</v>
      </c>
      <c r="S232" s="14">
        <v>1</v>
      </c>
      <c r="V232" s="14">
        <v>20001</v>
      </c>
      <c r="W232" s="14" t="s">
        <v>135</v>
      </c>
      <c r="Y232" s="14">
        <v>1</v>
      </c>
      <c r="Z232" s="14">
        <v>1</v>
      </c>
      <c r="AA232" s="14">
        <v>0</v>
      </c>
    </row>
    <row r="233" spans="1:27" x14ac:dyDescent="0.15">
      <c r="A233" s="15">
        <v>13090</v>
      </c>
      <c r="B233" s="15" t="s">
        <v>753</v>
      </c>
      <c r="C233" s="14">
        <v>3</v>
      </c>
      <c r="H233" s="16" t="s">
        <v>754</v>
      </c>
      <c r="J233" s="16" t="s">
        <v>755</v>
      </c>
      <c r="P233" s="14">
        <v>999</v>
      </c>
      <c r="R233" s="14" t="e" cm="1">
        <f t="array" aca="1" ref="R233" ca="1">_xlfn.TEXTJOIN(",",TRUE,MID(SUBSTITUTE(SUBSTITUTE(SUBSTITUTE(SUBSTITUTE($Q233,"↑","1"),"↓","2"),"←","3"),"→","4"),ROW(INDIRECT("1:"&amp;LEN($Q233))),1))</f>
        <v>#REF!</v>
      </c>
      <c r="S233" s="14">
        <v>1</v>
      </c>
      <c r="V233" s="14">
        <v>20001</v>
      </c>
      <c r="W233" s="14" t="s">
        <v>135</v>
      </c>
      <c r="Y233" s="14">
        <v>2</v>
      </c>
      <c r="Z233" s="14">
        <v>1</v>
      </c>
      <c r="AA233" s="14">
        <v>0</v>
      </c>
    </row>
    <row r="234" spans="1:27" x14ac:dyDescent="0.15">
      <c r="A234" s="15">
        <v>13091</v>
      </c>
      <c r="B234" s="15" t="s">
        <v>756</v>
      </c>
      <c r="C234" s="14">
        <v>3</v>
      </c>
      <c r="E234" s="16" t="s">
        <v>554</v>
      </c>
      <c r="H234" s="16" t="s">
        <v>757</v>
      </c>
      <c r="N234" s="16" t="s">
        <v>76</v>
      </c>
      <c r="Q234" s="14" t="s">
        <v>289</v>
      </c>
      <c r="R234" s="14" t="str" cm="1">
        <f t="array" aca="1" ref="R234" ca="1">_xlfn.TEXTJOIN(",",TRUE,MID(SUBSTITUTE(SUBSTITUTE(SUBSTITUTE(SUBSTITUTE($Q234,"↑","1"),"↓","2"),"←","3"),"→","4"),ROW(INDIRECT("1:"&amp;LEN($Q234))),1))</f>
        <v>4,4,4</v>
      </c>
      <c r="S234" s="14">
        <v>1</v>
      </c>
      <c r="T234" s="14">
        <v>30</v>
      </c>
      <c r="V234" s="14">
        <v>20305</v>
      </c>
      <c r="W234" s="14" t="s">
        <v>89</v>
      </c>
      <c r="Y234" s="14">
        <v>1</v>
      </c>
      <c r="Z234" s="14">
        <v>1</v>
      </c>
      <c r="AA234" s="14">
        <v>1</v>
      </c>
    </row>
    <row r="235" spans="1:27" x14ac:dyDescent="0.15">
      <c r="A235" s="15">
        <v>13092</v>
      </c>
      <c r="B235" s="15" t="s">
        <v>758</v>
      </c>
      <c r="C235" s="14">
        <v>3</v>
      </c>
      <c r="E235" s="16" t="s">
        <v>759</v>
      </c>
      <c r="H235" s="16" t="s">
        <v>760</v>
      </c>
      <c r="I235" s="14"/>
      <c r="J235" s="14"/>
      <c r="L235" s="16" t="s">
        <v>761</v>
      </c>
      <c r="R235" s="14" t="e" cm="1">
        <f t="array" aca="1" ref="R235" ca="1">_xlfn.TEXTJOIN(",",TRUE,MID(SUBSTITUTE(SUBSTITUTE(SUBSTITUTE(SUBSTITUTE($Q235,"↑","1"),"↓","2"),"←","3"),"→","4"),ROW(INDIRECT("1:"&amp;LEN($Q235))),1))</f>
        <v>#REF!</v>
      </c>
      <c r="S235" s="14">
        <v>1</v>
      </c>
      <c r="T235" s="14">
        <v>90</v>
      </c>
      <c r="Y235" s="14">
        <v>2</v>
      </c>
      <c r="Z235" s="14">
        <v>1</v>
      </c>
      <c r="AA235" s="14">
        <v>0</v>
      </c>
    </row>
    <row r="236" spans="1:27" ht="33" x14ac:dyDescent="0.15">
      <c r="A236" s="15">
        <v>13093</v>
      </c>
      <c r="B236" s="15" t="s">
        <v>762</v>
      </c>
      <c r="C236" s="14">
        <v>3</v>
      </c>
      <c r="H236" s="16" t="s">
        <v>763</v>
      </c>
      <c r="N236" s="16" t="s">
        <v>764</v>
      </c>
      <c r="R236" s="14" t="e" cm="1">
        <f t="array" aca="1" ref="R236" ca="1">_xlfn.TEXTJOIN(",",TRUE,MID(SUBSTITUTE(SUBSTITUTE(SUBSTITUTE(SUBSTITUTE($Q236,"↑","1"),"↓","2"),"←","3"),"→","4"),ROW(INDIRECT("1:"&amp;LEN($Q236))),1))</f>
        <v>#REF!</v>
      </c>
      <c r="S236" s="14">
        <v>1</v>
      </c>
      <c r="V236" s="14">
        <v>20508</v>
      </c>
      <c r="W236" s="14" t="s">
        <v>765</v>
      </c>
      <c r="Y236" s="14">
        <v>1</v>
      </c>
      <c r="Z236" s="14">
        <v>1</v>
      </c>
      <c r="AA236" s="14">
        <v>0</v>
      </c>
    </row>
    <row r="237" spans="1:27" ht="33" x14ac:dyDescent="0.15">
      <c r="A237" s="15">
        <v>13094</v>
      </c>
      <c r="B237" s="15" t="s">
        <v>766</v>
      </c>
      <c r="C237" s="14">
        <v>3</v>
      </c>
      <c r="H237" s="16" t="s">
        <v>767</v>
      </c>
      <c r="R237" s="14" t="e" cm="1">
        <f t="array" aca="1" ref="R237" ca="1">_xlfn.TEXTJOIN(",",TRUE,MID(SUBSTITUTE(SUBSTITUTE(SUBSTITUTE(SUBSTITUTE($Q237,"↑","1"),"↓","2"),"←","3"),"→","4"),ROW(INDIRECT("1:"&amp;LEN($Q237))),1))</f>
        <v>#REF!</v>
      </c>
      <c r="S237" s="14">
        <v>1</v>
      </c>
      <c r="Y237" s="14">
        <v>1</v>
      </c>
      <c r="Z237" s="14">
        <v>1</v>
      </c>
      <c r="AA237" s="14">
        <v>1</v>
      </c>
    </row>
    <row r="238" spans="1:27" x14ac:dyDescent="0.15">
      <c r="A238" s="15">
        <v>13095</v>
      </c>
      <c r="B238" s="15" t="s">
        <v>612</v>
      </c>
      <c r="C238" s="14">
        <v>3</v>
      </c>
      <c r="H238" s="14" t="s">
        <v>613</v>
      </c>
      <c r="J238" s="16" t="s">
        <v>1086</v>
      </c>
      <c r="P238" s="14">
        <v>999</v>
      </c>
      <c r="Q238" s="14" t="s">
        <v>615</v>
      </c>
      <c r="R238" s="14" t="str" cm="1">
        <f t="array" aca="1" ref="R238" ca="1">_xlfn.TEXTJOIN(",",TRUE,MID(SUBSTITUTE(SUBSTITUTE(SUBSTITUTE(SUBSTITUTE($Q238,"↑","1"),"↓","2"),"←","3"),"→","4"),ROW(INDIRECT("1:"&amp;LEN($Q238))),1))</f>
        <v>4,4,2,3</v>
      </c>
      <c r="S238" s="14">
        <v>1</v>
      </c>
      <c r="V238" s="14">
        <v>20001</v>
      </c>
      <c r="W238" s="14" t="s">
        <v>135</v>
      </c>
      <c r="Y238" s="14">
        <v>1</v>
      </c>
      <c r="Z238" s="14">
        <v>1</v>
      </c>
      <c r="AA238" s="14">
        <v>0</v>
      </c>
    </row>
    <row r="239" spans="1:27" x14ac:dyDescent="0.15">
      <c r="A239" s="15">
        <v>13096</v>
      </c>
      <c r="B239" s="15" t="s">
        <v>612</v>
      </c>
      <c r="C239" s="14">
        <v>3</v>
      </c>
      <c r="H239" s="14" t="s">
        <v>630</v>
      </c>
      <c r="J239" s="16" t="s">
        <v>768</v>
      </c>
      <c r="P239" s="14">
        <v>999</v>
      </c>
      <c r="Q239" s="14" t="s">
        <v>615</v>
      </c>
      <c r="R239" s="14" t="str" cm="1">
        <f t="array" aca="1" ref="R239" ca="1">_xlfn.TEXTJOIN(",",TRUE,MID(SUBSTITUTE(SUBSTITUTE(SUBSTITUTE(SUBSTITUTE($Q239,"↑","1"),"↓","2"),"←","3"),"→","4"),ROW(INDIRECT("1:"&amp;LEN($Q239))),1))</f>
        <v>4,4,2,3</v>
      </c>
      <c r="S239" s="14">
        <v>1</v>
      </c>
      <c r="V239" s="14">
        <v>20001</v>
      </c>
      <c r="W239" s="14" t="s">
        <v>135</v>
      </c>
      <c r="Y239" s="14">
        <v>1</v>
      </c>
      <c r="Z239" s="14">
        <v>1</v>
      </c>
      <c r="AA239" s="14">
        <v>0</v>
      </c>
    </row>
    <row r="240" spans="1:27" x14ac:dyDescent="0.15">
      <c r="A240" s="15">
        <v>13097</v>
      </c>
      <c r="B240" s="15" t="s">
        <v>631</v>
      </c>
      <c r="C240" s="14">
        <v>3</v>
      </c>
      <c r="H240" s="14" t="s">
        <v>579</v>
      </c>
      <c r="J240" s="16" t="s">
        <v>769</v>
      </c>
      <c r="P240" s="14">
        <v>999</v>
      </c>
      <c r="Q240" s="14" t="s">
        <v>633</v>
      </c>
      <c r="R240" s="14" t="str" cm="1">
        <f t="array" aca="1" ref="R240" ca="1">_xlfn.TEXTJOIN(",",TRUE,MID(SUBSTITUTE(SUBSTITUTE(SUBSTITUTE(SUBSTITUTE($Q240,"↑","1"),"↓","2"),"←","3"),"→","4"),ROW(INDIRECT("1:"&amp;LEN($Q240))),1))</f>
        <v>4,4,2</v>
      </c>
      <c r="S240" s="14">
        <v>1</v>
      </c>
      <c r="V240" s="14">
        <v>20001</v>
      </c>
      <c r="W240" s="14" t="s">
        <v>135</v>
      </c>
      <c r="Y240" s="14">
        <v>1</v>
      </c>
      <c r="Z240" s="14">
        <v>1</v>
      </c>
      <c r="AA240" s="14">
        <v>0</v>
      </c>
    </row>
    <row r="241" spans="1:27" x14ac:dyDescent="0.15">
      <c r="A241" s="15">
        <v>13098</v>
      </c>
      <c r="B241" s="15" t="s">
        <v>631</v>
      </c>
      <c r="C241" s="14">
        <v>3</v>
      </c>
      <c r="H241" s="14" t="s">
        <v>572</v>
      </c>
      <c r="J241" s="16" t="s">
        <v>769</v>
      </c>
      <c r="P241" s="14">
        <v>999</v>
      </c>
      <c r="Q241" s="14" t="s">
        <v>633</v>
      </c>
      <c r="R241" s="14" t="str" cm="1">
        <f t="array" aca="1" ref="R241" ca="1">_xlfn.TEXTJOIN(",",TRUE,MID(SUBSTITUTE(SUBSTITUTE(SUBSTITUTE(SUBSTITUTE($Q241,"↑","1"),"↓","2"),"←","3"),"→","4"),ROW(INDIRECT("1:"&amp;LEN($Q241))),1))</f>
        <v>4,4,2</v>
      </c>
      <c r="S241" s="14">
        <v>1</v>
      </c>
      <c r="V241" s="14">
        <v>20001</v>
      </c>
      <c r="W241" s="14" t="s">
        <v>135</v>
      </c>
      <c r="Y241" s="14">
        <v>1</v>
      </c>
      <c r="Z241" s="14">
        <v>1</v>
      </c>
      <c r="AA241" s="14">
        <v>0</v>
      </c>
    </row>
    <row r="242" spans="1:27" x14ac:dyDescent="0.15">
      <c r="A242" s="15">
        <v>13099</v>
      </c>
      <c r="B242" s="15" t="s">
        <v>738</v>
      </c>
      <c r="C242" s="14">
        <v>3</v>
      </c>
      <c r="H242" s="16" t="s">
        <v>770</v>
      </c>
      <c r="J242" s="16" t="s">
        <v>740</v>
      </c>
      <c r="P242" s="14">
        <v>999</v>
      </c>
      <c r="R242" s="14" t="e" cm="1">
        <f t="array" aca="1" ref="R242" ca="1">_xlfn.TEXTJOIN(",",TRUE,MID(SUBSTITUTE(SUBSTITUTE(SUBSTITUTE(SUBSTITUTE($Q242,"↑","1"),"↓","2"),"←","3"),"→","4"),ROW(INDIRECT("1:"&amp;LEN($Q242))),1))</f>
        <v>#REF!</v>
      </c>
      <c r="S242" s="14">
        <v>1</v>
      </c>
      <c r="V242" s="14">
        <v>20001</v>
      </c>
      <c r="W242" s="14" t="s">
        <v>135</v>
      </c>
      <c r="Y242" s="14">
        <v>1</v>
      </c>
      <c r="Z242" s="14">
        <v>1</v>
      </c>
      <c r="AA242" s="14">
        <v>0</v>
      </c>
    </row>
    <row r="243" spans="1:27" ht="33" x14ac:dyDescent="0.15">
      <c r="A243" s="15">
        <v>13100</v>
      </c>
      <c r="B243" s="15" t="s">
        <v>741</v>
      </c>
      <c r="C243" s="14">
        <v>3</v>
      </c>
      <c r="H243" s="16" t="s">
        <v>1087</v>
      </c>
      <c r="P243" s="14">
        <v>999</v>
      </c>
      <c r="R243" s="14" t="e" cm="1">
        <f t="array" aca="1" ref="R243" ca="1">_xlfn.TEXTJOIN(",",TRUE,MID(SUBSTITUTE(SUBSTITUTE(SUBSTITUTE(SUBSTITUTE($Q243,"↑","1"),"↓","2"),"←","3"),"→","4"),ROW(INDIRECT("1:"&amp;LEN($Q243))),1))</f>
        <v>#REF!</v>
      </c>
      <c r="S243" s="14">
        <v>1</v>
      </c>
      <c r="V243" s="14">
        <v>20001</v>
      </c>
      <c r="W243" s="14" t="s">
        <v>135</v>
      </c>
      <c r="Y243" s="14">
        <v>1</v>
      </c>
      <c r="Z243" s="14">
        <v>1</v>
      </c>
      <c r="AA243" s="14">
        <v>0</v>
      </c>
    </row>
    <row r="244" spans="1:27" ht="33" x14ac:dyDescent="0.15">
      <c r="A244" s="15">
        <v>13101</v>
      </c>
      <c r="B244" s="15" t="s">
        <v>745</v>
      </c>
      <c r="C244" s="14">
        <v>3</v>
      </c>
      <c r="H244" s="14" t="s">
        <v>673</v>
      </c>
      <c r="I244" s="14"/>
      <c r="J244" s="14"/>
      <c r="L244" s="16" t="s">
        <v>746</v>
      </c>
      <c r="P244" s="14">
        <v>999</v>
      </c>
      <c r="R244" s="14" t="e" cm="1">
        <f t="array" aca="1" ref="R244" ca="1">_xlfn.TEXTJOIN(",",TRUE,MID(SUBSTITUTE(SUBSTITUTE(SUBSTITUTE(SUBSTITUTE($Q244,"↑","1"),"↓","2"),"←","3"),"→","4"),ROW(INDIRECT("1:"&amp;LEN($Q244))),1))</f>
        <v>#REF!</v>
      </c>
      <c r="S244" s="14">
        <v>1</v>
      </c>
      <c r="V244" s="14">
        <v>20001</v>
      </c>
      <c r="W244" s="14" t="s">
        <v>135</v>
      </c>
      <c r="Y244" s="14">
        <v>1</v>
      </c>
      <c r="Z244" s="14">
        <v>1</v>
      </c>
      <c r="AA244" s="14">
        <v>0</v>
      </c>
    </row>
    <row r="245" spans="1:27" ht="33" x14ac:dyDescent="0.15">
      <c r="A245" s="15">
        <v>13102</v>
      </c>
      <c r="B245" s="15" t="s">
        <v>747</v>
      </c>
      <c r="C245" s="14">
        <v>3</v>
      </c>
      <c r="H245" s="16" t="s">
        <v>771</v>
      </c>
      <c r="P245" s="14">
        <v>999</v>
      </c>
      <c r="R245" s="14" t="e" cm="1">
        <f t="array" aca="1" ref="R245" ca="1">_xlfn.TEXTJOIN(",",TRUE,MID(SUBSTITUTE(SUBSTITUTE(SUBSTITUTE(SUBSTITUTE($Q245,"↑","1"),"↓","2"),"←","3"),"→","4"),ROW(INDIRECT("1:"&amp;LEN($Q245))),1))</f>
        <v>#REF!</v>
      </c>
      <c r="S245" s="14">
        <v>1</v>
      </c>
      <c r="V245" s="14">
        <v>20001</v>
      </c>
      <c r="W245" s="14" t="s">
        <v>135</v>
      </c>
      <c r="Y245" s="14">
        <v>1</v>
      </c>
      <c r="Z245" s="14">
        <v>1</v>
      </c>
      <c r="AA245" s="14">
        <v>0</v>
      </c>
    </row>
    <row r="246" spans="1:27" ht="33" x14ac:dyDescent="0.15">
      <c r="A246" s="15">
        <v>13103</v>
      </c>
      <c r="B246" s="15" t="s">
        <v>749</v>
      </c>
      <c r="C246" s="14">
        <v>3</v>
      </c>
      <c r="H246" s="16" t="s">
        <v>772</v>
      </c>
      <c r="L246" s="16" t="s">
        <v>359</v>
      </c>
      <c r="P246" s="14">
        <v>999</v>
      </c>
      <c r="R246" s="14" t="e" cm="1">
        <f t="array" aca="1" ref="R246" ca="1">_xlfn.TEXTJOIN(",",TRUE,MID(SUBSTITUTE(SUBSTITUTE(SUBSTITUTE(SUBSTITUTE($Q246,"↑","1"),"↓","2"),"←","3"),"→","4"),ROW(INDIRECT("1:"&amp;LEN($Q246))),1))</f>
        <v>#REF!</v>
      </c>
      <c r="S246" s="14">
        <v>1</v>
      </c>
      <c r="V246" s="14">
        <v>20001</v>
      </c>
      <c r="W246" s="14" t="s">
        <v>135</v>
      </c>
      <c r="Y246" s="14">
        <v>1</v>
      </c>
      <c r="Z246" s="14">
        <v>1</v>
      </c>
      <c r="AA246" s="14">
        <v>0</v>
      </c>
    </row>
    <row r="247" spans="1:27" x14ac:dyDescent="0.15">
      <c r="A247" s="15">
        <v>13104</v>
      </c>
      <c r="B247" s="15" t="s">
        <v>738</v>
      </c>
      <c r="C247" s="14">
        <v>3</v>
      </c>
      <c r="H247" s="16" t="s">
        <v>773</v>
      </c>
      <c r="J247" s="16" t="s">
        <v>740</v>
      </c>
      <c r="P247" s="14">
        <v>999</v>
      </c>
      <c r="R247" s="14" t="e" cm="1">
        <f t="array" aca="1" ref="R247" ca="1">_xlfn.TEXTJOIN(",",TRUE,MID(SUBSTITUTE(SUBSTITUTE(SUBSTITUTE(SUBSTITUTE($Q247,"↑","1"),"↓","2"),"←","3"),"→","4"),ROW(INDIRECT("1:"&amp;LEN($Q247))),1))</f>
        <v>#REF!</v>
      </c>
      <c r="S247" s="14">
        <v>1</v>
      </c>
      <c r="V247" s="14">
        <v>20001</v>
      </c>
      <c r="W247" s="14" t="s">
        <v>135</v>
      </c>
      <c r="Y247" s="14">
        <v>1</v>
      </c>
      <c r="Z247" s="14">
        <v>1</v>
      </c>
      <c r="AA247" s="14">
        <v>0</v>
      </c>
    </row>
    <row r="248" spans="1:27" ht="33" x14ac:dyDescent="0.15">
      <c r="A248" s="15">
        <v>13105</v>
      </c>
      <c r="B248" s="15" t="s">
        <v>741</v>
      </c>
      <c r="C248" s="14">
        <v>3</v>
      </c>
      <c r="H248" s="16" t="s">
        <v>774</v>
      </c>
      <c r="P248" s="14">
        <v>999</v>
      </c>
      <c r="R248" s="14" t="e" cm="1">
        <f t="array" aca="1" ref="R248" ca="1">_xlfn.TEXTJOIN(",",TRUE,MID(SUBSTITUTE(SUBSTITUTE(SUBSTITUTE(SUBSTITUTE($Q248,"↑","1"),"↓","2"),"←","3"),"→","4"),ROW(INDIRECT("1:"&amp;LEN($Q248))),1))</f>
        <v>#REF!</v>
      </c>
      <c r="S248" s="14">
        <v>1</v>
      </c>
      <c r="V248" s="14">
        <v>20001</v>
      </c>
      <c r="W248" s="14" t="s">
        <v>135</v>
      </c>
      <c r="Y248" s="14">
        <v>1</v>
      </c>
      <c r="Z248" s="14">
        <v>1</v>
      </c>
      <c r="AA248" s="14">
        <v>0</v>
      </c>
    </row>
    <row r="249" spans="1:27" ht="33" x14ac:dyDescent="0.15">
      <c r="A249" s="15">
        <v>13106</v>
      </c>
      <c r="B249" s="15" t="s">
        <v>745</v>
      </c>
      <c r="C249" s="14">
        <v>3</v>
      </c>
      <c r="H249" s="14" t="s">
        <v>775</v>
      </c>
      <c r="I249" s="14"/>
      <c r="J249" s="14"/>
      <c r="L249" s="16" t="s">
        <v>746</v>
      </c>
      <c r="P249" s="14">
        <v>999</v>
      </c>
      <c r="R249" s="14" t="e" cm="1">
        <f t="array" aca="1" ref="R249" ca="1">_xlfn.TEXTJOIN(",",TRUE,MID(SUBSTITUTE(SUBSTITUTE(SUBSTITUTE(SUBSTITUTE($Q249,"↑","1"),"↓","2"),"←","3"),"→","4"),ROW(INDIRECT("1:"&amp;LEN($Q249))),1))</f>
        <v>#REF!</v>
      </c>
      <c r="S249" s="14">
        <v>1</v>
      </c>
      <c r="V249" s="14">
        <v>20001</v>
      </c>
      <c r="W249" s="14" t="s">
        <v>135</v>
      </c>
      <c r="Y249" s="14">
        <v>1</v>
      </c>
      <c r="Z249" s="14">
        <v>1</v>
      </c>
      <c r="AA249" s="14">
        <v>0</v>
      </c>
    </row>
    <row r="250" spans="1:27" ht="33" x14ac:dyDescent="0.15">
      <c r="A250" s="15">
        <v>13107</v>
      </c>
      <c r="B250" s="15" t="s">
        <v>747</v>
      </c>
      <c r="C250" s="14">
        <v>3</v>
      </c>
      <c r="H250" s="16" t="s">
        <v>776</v>
      </c>
      <c r="P250" s="14">
        <v>999</v>
      </c>
      <c r="R250" s="14" t="e" cm="1">
        <f t="array" aca="1" ref="R250" ca="1">_xlfn.TEXTJOIN(",",TRUE,MID(SUBSTITUTE(SUBSTITUTE(SUBSTITUTE(SUBSTITUTE($Q250,"↑","1"),"↓","2"),"←","3"),"→","4"),ROW(INDIRECT("1:"&amp;LEN($Q250))),1))</f>
        <v>#REF!</v>
      </c>
      <c r="S250" s="14">
        <v>1</v>
      </c>
      <c r="V250" s="14">
        <v>20001</v>
      </c>
      <c r="W250" s="14" t="s">
        <v>135</v>
      </c>
      <c r="Y250" s="14">
        <v>1</v>
      </c>
      <c r="Z250" s="14">
        <v>1</v>
      </c>
      <c r="AA250" s="14">
        <v>0</v>
      </c>
    </row>
    <row r="251" spans="1:27" ht="33" x14ac:dyDescent="0.15">
      <c r="A251" s="15">
        <v>13108</v>
      </c>
      <c r="B251" s="15" t="s">
        <v>749</v>
      </c>
      <c r="C251" s="14">
        <v>3</v>
      </c>
      <c r="H251" s="16" t="s">
        <v>777</v>
      </c>
      <c r="L251" s="16" t="s">
        <v>359</v>
      </c>
      <c r="P251" s="14">
        <v>999</v>
      </c>
      <c r="R251" s="14" t="e" cm="1">
        <f t="array" aca="1" ref="R251" ca="1">_xlfn.TEXTJOIN(",",TRUE,MID(SUBSTITUTE(SUBSTITUTE(SUBSTITUTE(SUBSTITUTE($Q251,"↑","1"),"↓","2"),"←","3"),"→","4"),ROW(INDIRECT("1:"&amp;LEN($Q251))),1))</f>
        <v>#REF!</v>
      </c>
      <c r="S251" s="14">
        <v>1</v>
      </c>
      <c r="V251" s="14">
        <v>20001</v>
      </c>
      <c r="W251" s="14" t="s">
        <v>135</v>
      </c>
      <c r="Y251" s="14">
        <v>1</v>
      </c>
      <c r="Z251" s="14">
        <v>1</v>
      </c>
      <c r="AA251" s="14">
        <v>0</v>
      </c>
    </row>
    <row r="252" spans="1:27" x14ac:dyDescent="0.15">
      <c r="A252" s="15">
        <v>13109</v>
      </c>
      <c r="B252" s="15" t="s">
        <v>778</v>
      </c>
      <c r="C252" s="14">
        <v>3</v>
      </c>
      <c r="R252" s="14" t="e" cm="1">
        <f t="array" aca="1" ref="R252" ca="1">_xlfn.TEXTJOIN(",",TRUE,MID(SUBSTITUTE(SUBSTITUTE(SUBSTITUTE(SUBSTITUTE($Q252,"↑","1"),"↓","2"),"←","3"),"→","4"),ROW(INDIRECT("1:"&amp;LEN($Q252))),1))</f>
        <v>#REF!</v>
      </c>
      <c r="S252" s="14">
        <v>1</v>
      </c>
      <c r="V252" s="14">
        <v>20407</v>
      </c>
      <c r="W252" s="14" t="s">
        <v>779</v>
      </c>
      <c r="Y252" s="14">
        <v>1</v>
      </c>
      <c r="Z252" s="14">
        <v>1</v>
      </c>
      <c r="AA252" s="14">
        <v>1</v>
      </c>
    </row>
    <row r="253" spans="1:27" ht="33" x14ac:dyDescent="0.15">
      <c r="A253" s="15">
        <v>13110</v>
      </c>
      <c r="C253" s="14">
        <v>3</v>
      </c>
      <c r="H253" s="16" t="s">
        <v>780</v>
      </c>
      <c r="R253" s="14" t="e" cm="1">
        <f t="array" aca="1" ref="R253" ca="1">_xlfn.TEXTJOIN(",",TRUE,MID(SUBSTITUTE(SUBSTITUTE(SUBSTITUTE(SUBSTITUTE($Q253,"↑","1"),"↓","2"),"←","3"),"→","4"),ROW(INDIRECT("1:"&amp;LEN($Q253))),1))</f>
        <v>#REF!</v>
      </c>
      <c r="S253" s="14">
        <v>1</v>
      </c>
      <c r="V253" s="14">
        <v>20508</v>
      </c>
      <c r="W253" s="14" t="s">
        <v>765</v>
      </c>
      <c r="Y253" s="14">
        <v>1</v>
      </c>
      <c r="Z253" s="14">
        <v>1</v>
      </c>
      <c r="AA253" s="14">
        <v>1</v>
      </c>
    </row>
    <row r="254" spans="1:27" x14ac:dyDescent="0.15">
      <c r="A254" s="15">
        <v>13111</v>
      </c>
      <c r="C254" s="14">
        <v>3</v>
      </c>
      <c r="H254" s="16" t="s">
        <v>781</v>
      </c>
      <c r="R254" s="14" t="e" cm="1">
        <f t="array" aca="1" ref="R254" ca="1">_xlfn.TEXTJOIN(",",TRUE,MID(SUBSTITUTE(SUBSTITUTE(SUBSTITUTE(SUBSTITUTE($Q254,"↑","1"),"↓","2"),"←","3"),"→","4"),ROW(INDIRECT("1:"&amp;LEN($Q254))),1))</f>
        <v>#REF!</v>
      </c>
      <c r="S254" s="14">
        <v>1</v>
      </c>
      <c r="V254" s="14">
        <v>20508</v>
      </c>
      <c r="W254" s="14" t="s">
        <v>765</v>
      </c>
      <c r="Y254" s="14">
        <v>1</v>
      </c>
      <c r="Z254" s="14">
        <v>1</v>
      </c>
      <c r="AA254" s="14">
        <v>1</v>
      </c>
    </row>
    <row r="255" spans="1:27" x14ac:dyDescent="0.15">
      <c r="A255" s="15">
        <v>13112</v>
      </c>
      <c r="C255" s="14">
        <v>3</v>
      </c>
      <c r="H255" s="16" t="s">
        <v>782</v>
      </c>
      <c r="R255" s="14" t="e" cm="1">
        <f t="array" aca="1" ref="R255" ca="1">_xlfn.TEXTJOIN(",",TRUE,MID(SUBSTITUTE(SUBSTITUTE(SUBSTITUTE(SUBSTITUTE($Q255,"↑","1"),"↓","2"),"←","3"),"→","4"),ROW(INDIRECT("1:"&amp;LEN($Q255))),1))</f>
        <v>#REF!</v>
      </c>
      <c r="S255" s="14">
        <v>1</v>
      </c>
      <c r="V255" s="14">
        <v>20303</v>
      </c>
      <c r="W255" s="14" t="s">
        <v>83</v>
      </c>
      <c r="Y255" s="14">
        <v>1</v>
      </c>
      <c r="Z255" s="14">
        <v>1</v>
      </c>
      <c r="AA255" s="14">
        <v>1</v>
      </c>
    </row>
    <row r="256" spans="1:27" x14ac:dyDescent="0.15">
      <c r="A256" s="15">
        <v>13113</v>
      </c>
      <c r="C256" s="14">
        <v>3</v>
      </c>
      <c r="H256" s="16" t="s">
        <v>783</v>
      </c>
      <c r="R256" s="14" t="e" cm="1">
        <f t="array" aca="1" ref="R256" ca="1">_xlfn.TEXTJOIN(",",TRUE,MID(SUBSTITUTE(SUBSTITUTE(SUBSTITUTE(SUBSTITUTE($Q256,"↑","1"),"↓","2"),"←","3"),"→","4"),ROW(INDIRECT("1:"&amp;LEN($Q256))),1))</f>
        <v>#REF!</v>
      </c>
      <c r="S256" s="14">
        <v>1</v>
      </c>
      <c r="V256" s="14">
        <v>20303</v>
      </c>
      <c r="W256" s="14" t="s">
        <v>83</v>
      </c>
      <c r="Y256" s="14">
        <v>1</v>
      </c>
      <c r="Z256" s="14">
        <v>1</v>
      </c>
      <c r="AA256" s="14">
        <v>1</v>
      </c>
    </row>
    <row r="257" spans="1:27" ht="33" x14ac:dyDescent="0.15">
      <c r="A257" s="15">
        <v>13114</v>
      </c>
      <c r="C257" s="14">
        <v>3</v>
      </c>
      <c r="G257" s="16" t="s">
        <v>784</v>
      </c>
      <c r="H257" s="16" t="s">
        <v>785</v>
      </c>
      <c r="J257" s="16" t="s">
        <v>786</v>
      </c>
      <c r="L257" s="16" t="s">
        <v>787</v>
      </c>
      <c r="P257" s="14">
        <v>5</v>
      </c>
      <c r="Q257" s="14" t="s">
        <v>788</v>
      </c>
      <c r="R257" s="14" t="str" cm="1">
        <f t="array" aca="1" ref="R257" ca="1">_xlfn.TEXTJOIN(",",TRUE,MID(SUBSTITUTE(SUBSTITUTE(SUBSTITUTE(SUBSTITUTE($Q257,"↑","1"),"↓","2"),"←","3"),"→","4"),ROW(INDIRECT("1:"&amp;LEN($Q257))),1))</f>
        <v>2,2,4,4</v>
      </c>
      <c r="S257" s="14">
        <v>1</v>
      </c>
      <c r="T257" s="14">
        <v>45</v>
      </c>
      <c r="U257" s="14" t="s">
        <v>51</v>
      </c>
      <c r="V257" s="14">
        <v>20602</v>
      </c>
      <c r="W257" s="14" t="s">
        <v>789</v>
      </c>
      <c r="Y257" s="14">
        <v>1</v>
      </c>
      <c r="Z257" s="14">
        <v>1</v>
      </c>
      <c r="AA257" s="14">
        <v>1</v>
      </c>
    </row>
    <row r="258" spans="1:27" ht="33" x14ac:dyDescent="0.15">
      <c r="A258" s="15">
        <v>13115</v>
      </c>
      <c r="B258" s="15" t="s">
        <v>790</v>
      </c>
      <c r="C258" s="14">
        <v>3</v>
      </c>
      <c r="H258" s="16" t="s">
        <v>791</v>
      </c>
      <c r="L258" s="16" t="s">
        <v>792</v>
      </c>
      <c r="P258" s="14">
        <v>999</v>
      </c>
      <c r="R258" s="14" t="e" cm="1">
        <f t="array" aca="1" ref="R258" ca="1">_xlfn.TEXTJOIN(",",TRUE,MID(SUBSTITUTE(SUBSTITUTE(SUBSTITUTE(SUBSTITUTE($Q258,"↑","1"),"↓","2"),"←","3"),"→","4"),ROW(INDIRECT("1:"&amp;LEN($Q258))),1))</f>
        <v>#REF!</v>
      </c>
      <c r="S258" s="14">
        <v>1</v>
      </c>
      <c r="T258" s="14">
        <v>15</v>
      </c>
      <c r="U258" s="14" t="s">
        <v>51</v>
      </c>
      <c r="V258" s="14">
        <v>20604</v>
      </c>
      <c r="W258" s="14" t="s">
        <v>245</v>
      </c>
      <c r="Y258" s="14">
        <v>1</v>
      </c>
      <c r="Z258" s="14">
        <v>1</v>
      </c>
      <c r="AA258" s="14">
        <v>0</v>
      </c>
    </row>
    <row r="259" spans="1:27" ht="33" x14ac:dyDescent="0.15">
      <c r="A259" s="15">
        <v>13116</v>
      </c>
      <c r="C259" s="14">
        <v>3</v>
      </c>
      <c r="H259" s="16" t="s">
        <v>793</v>
      </c>
      <c r="J259" s="16" t="s">
        <v>794</v>
      </c>
      <c r="L259" s="16" t="s">
        <v>795</v>
      </c>
      <c r="Q259" s="14" t="s">
        <v>433</v>
      </c>
      <c r="S259" s="14">
        <v>1</v>
      </c>
      <c r="T259" s="14">
        <v>25</v>
      </c>
      <c r="U259" s="14" t="s">
        <v>51</v>
      </c>
      <c r="V259" s="14">
        <v>20604</v>
      </c>
      <c r="W259" s="14" t="s">
        <v>245</v>
      </c>
      <c r="Y259" s="14">
        <v>1</v>
      </c>
      <c r="Z259" s="14">
        <v>1</v>
      </c>
      <c r="AA259" s="14">
        <v>1</v>
      </c>
    </row>
    <row r="260" spans="1:27" ht="33" x14ac:dyDescent="0.15">
      <c r="A260" s="15">
        <v>13117</v>
      </c>
      <c r="C260" s="14">
        <v>3</v>
      </c>
      <c r="E260" s="16" t="s">
        <v>796</v>
      </c>
      <c r="H260" s="16" t="s">
        <v>673</v>
      </c>
      <c r="J260" s="16" t="s">
        <v>797</v>
      </c>
      <c r="L260" s="16" t="s">
        <v>798</v>
      </c>
      <c r="N260" s="16" t="s">
        <v>76</v>
      </c>
      <c r="S260" s="14">
        <v>1</v>
      </c>
      <c r="T260" s="14">
        <v>35</v>
      </c>
      <c r="U260" s="14" t="s">
        <v>51</v>
      </c>
      <c r="V260" s="14">
        <v>20604</v>
      </c>
      <c r="W260" s="14" t="s">
        <v>245</v>
      </c>
      <c r="Y260" s="14">
        <v>1</v>
      </c>
      <c r="Z260" s="14">
        <v>1</v>
      </c>
      <c r="AA260" s="14">
        <v>1</v>
      </c>
    </row>
    <row r="261" spans="1:27" ht="33" x14ac:dyDescent="0.15">
      <c r="A261" s="15">
        <v>13118</v>
      </c>
      <c r="C261" s="14">
        <v>3</v>
      </c>
      <c r="H261" s="16" t="s">
        <v>799</v>
      </c>
      <c r="L261" s="16" t="s">
        <v>800</v>
      </c>
      <c r="S261" s="14">
        <v>1</v>
      </c>
      <c r="T261" s="14">
        <v>50</v>
      </c>
      <c r="U261" s="14" t="s">
        <v>51</v>
      </c>
      <c r="V261" s="14">
        <v>20604</v>
      </c>
      <c r="W261" s="14" t="s">
        <v>245</v>
      </c>
      <c r="Y261" s="14">
        <v>1</v>
      </c>
      <c r="Z261" s="14">
        <v>1</v>
      </c>
      <c r="AA261" s="14">
        <v>1</v>
      </c>
    </row>
    <row r="264" spans="1:27" x14ac:dyDescent="0.15">
      <c r="A264" s="15">
        <v>14001</v>
      </c>
      <c r="B264" s="15" t="s">
        <v>801</v>
      </c>
      <c r="C264" s="14">
        <v>4</v>
      </c>
      <c r="H264" s="16" t="s">
        <v>802</v>
      </c>
      <c r="O264" s="14">
        <v>3</v>
      </c>
      <c r="P264" s="14">
        <v>3</v>
      </c>
      <c r="Q264" s="14" t="s">
        <v>803</v>
      </c>
      <c r="R264" s="14" t="str" cm="1">
        <f t="array" aca="1" ref="R264" ca="1">_xlfn.TEXTJOIN(",",TRUE,MID(SUBSTITUTE(SUBSTITUTE(SUBSTITUTE(SUBSTITUTE($Q264,"↑","1"),"↓","2"),"←","3"),"→","4"),ROW(INDIRECT("1:"&amp;LEN($Q264))),1))</f>
        <v>3,2,1,4</v>
      </c>
      <c r="S264" s="14">
        <v>1</v>
      </c>
      <c r="T264" s="14" t="s">
        <v>51</v>
      </c>
      <c r="U264" s="14">
        <v>20</v>
      </c>
      <c r="V264" s="14">
        <v>20304</v>
      </c>
      <c r="W264" s="14" t="s">
        <v>388</v>
      </c>
      <c r="Y264" s="14">
        <v>2</v>
      </c>
      <c r="Z264" s="14">
        <v>1</v>
      </c>
      <c r="AA264" s="14">
        <v>1</v>
      </c>
    </row>
    <row r="265" spans="1:27" x14ac:dyDescent="0.15">
      <c r="A265" s="15">
        <v>14002</v>
      </c>
      <c r="B265" s="15" t="s">
        <v>804</v>
      </c>
      <c r="C265" s="14">
        <v>4</v>
      </c>
      <c r="E265" s="16" t="s">
        <v>805</v>
      </c>
      <c r="H265" s="16" t="s">
        <v>806</v>
      </c>
      <c r="O265" s="14">
        <v>6</v>
      </c>
      <c r="P265" s="14">
        <v>3</v>
      </c>
      <c r="Q265" s="14" t="s">
        <v>807</v>
      </c>
      <c r="R265" s="14" t="str" cm="1">
        <f t="array" aca="1" ref="R265" ca="1">_xlfn.TEXTJOIN(",",TRUE,MID(SUBSTITUTE(SUBSTITUTE(SUBSTITUTE(SUBSTITUTE($Q265,"↑","1"),"↓","2"),"←","3"),"→","4"),ROW(INDIRECT("1:"&amp;LEN($Q265))),1))</f>
        <v>3,1,4,2</v>
      </c>
      <c r="S265" s="14">
        <v>1</v>
      </c>
      <c r="T265" s="14" t="s">
        <v>51</v>
      </c>
      <c r="U265" s="14">
        <v>30</v>
      </c>
      <c r="V265" s="14">
        <v>20304</v>
      </c>
      <c r="W265" s="14" t="s">
        <v>388</v>
      </c>
      <c r="Y265" s="14">
        <v>2</v>
      </c>
      <c r="Z265" s="14">
        <v>0</v>
      </c>
      <c r="AA265" s="14">
        <v>1</v>
      </c>
    </row>
    <row r="266" spans="1:27" x14ac:dyDescent="0.15">
      <c r="A266" s="15">
        <v>14003</v>
      </c>
      <c r="B266" s="15" t="s">
        <v>808</v>
      </c>
      <c r="C266" s="14">
        <v>4</v>
      </c>
      <c r="E266" s="16" t="s">
        <v>144</v>
      </c>
      <c r="G266" s="16" t="s">
        <v>248</v>
      </c>
      <c r="H266" s="16" t="s">
        <v>809</v>
      </c>
      <c r="L266" s="16" t="s">
        <v>810</v>
      </c>
      <c r="O266" s="14">
        <v>3</v>
      </c>
      <c r="P266" s="14">
        <v>4</v>
      </c>
      <c r="Q266" s="14" t="s">
        <v>811</v>
      </c>
      <c r="R266" s="14" t="str" cm="1">
        <f t="array" aca="1" ref="R266" ca="1">_xlfn.TEXTJOIN(",",TRUE,MID(SUBSTITUTE(SUBSTITUTE(SUBSTITUTE(SUBSTITUTE($Q266,"↑","1"),"↓","2"),"←","3"),"→","4"),ROW(INDIRECT("1:"&amp;LEN($Q266))),1))</f>
        <v>2,3,2</v>
      </c>
      <c r="S266" s="14">
        <v>1</v>
      </c>
      <c r="T266" s="14" t="s">
        <v>51</v>
      </c>
      <c r="U266" s="14">
        <v>30</v>
      </c>
      <c r="V266" s="14">
        <v>20302</v>
      </c>
      <c r="W266" s="14" t="s">
        <v>383</v>
      </c>
      <c r="Y266" s="14">
        <v>2</v>
      </c>
      <c r="Z266" s="14">
        <v>0</v>
      </c>
      <c r="AA266" s="14">
        <v>1</v>
      </c>
    </row>
    <row r="267" spans="1:27" x14ac:dyDescent="0.15">
      <c r="A267" s="15">
        <v>14004</v>
      </c>
      <c r="B267" s="15" t="s">
        <v>812</v>
      </c>
      <c r="C267" s="14">
        <v>4</v>
      </c>
      <c r="E267" s="16" t="s">
        <v>269</v>
      </c>
      <c r="H267" s="16" t="s">
        <v>813</v>
      </c>
      <c r="N267" s="16" t="s">
        <v>76</v>
      </c>
      <c r="Q267" s="14" t="s">
        <v>418</v>
      </c>
      <c r="R267" s="14" t="str" cm="1">
        <f t="array" aca="1" ref="R267" ca="1">_xlfn.TEXTJOIN(",",TRUE,MID(SUBSTITUTE(SUBSTITUTE(SUBSTITUTE(SUBSTITUTE($Q267,"↑","1"),"↓","2"),"←","3"),"→","4"),ROW(INDIRECT("1:"&amp;LEN($Q267))),1))</f>
        <v>3,2</v>
      </c>
      <c r="T267" s="14" t="s">
        <v>51</v>
      </c>
      <c r="U267" s="14">
        <v>50</v>
      </c>
      <c r="V267" s="14">
        <v>20302</v>
      </c>
      <c r="W267" s="14" t="s">
        <v>383</v>
      </c>
      <c r="Y267" s="14">
        <v>2</v>
      </c>
      <c r="Z267" s="14">
        <v>0</v>
      </c>
      <c r="AA267" s="14">
        <v>1</v>
      </c>
    </row>
    <row r="268" spans="1:27" x14ac:dyDescent="0.15">
      <c r="A268" s="15">
        <v>14005</v>
      </c>
      <c r="B268" s="15" t="s">
        <v>814</v>
      </c>
      <c r="C268" s="14">
        <v>4</v>
      </c>
      <c r="E268" s="16" t="s">
        <v>269</v>
      </c>
      <c r="H268" s="16" t="s">
        <v>815</v>
      </c>
      <c r="N268" s="16" t="s">
        <v>76</v>
      </c>
      <c r="Q268" s="14" t="s">
        <v>719</v>
      </c>
      <c r="R268" s="14" t="str" cm="1">
        <f t="array" aca="1" ref="R268" ca="1">_xlfn.TEXTJOIN(",",TRUE,MID(SUBSTITUTE(SUBSTITUTE(SUBSTITUTE(SUBSTITUTE($Q268,"↑","1"),"↓","2"),"←","3"),"→","4"),ROW(INDIRECT("1:"&amp;LEN($Q268))),1))</f>
        <v>1,4</v>
      </c>
      <c r="T268" s="14" t="s">
        <v>51</v>
      </c>
      <c r="U268" s="14">
        <v>50</v>
      </c>
      <c r="V268" s="14">
        <v>20302</v>
      </c>
      <c r="W268" s="14" t="s">
        <v>383</v>
      </c>
      <c r="Y268" s="14">
        <v>2</v>
      </c>
      <c r="Z268" s="14">
        <v>0</v>
      </c>
      <c r="AA268" s="14">
        <v>1</v>
      </c>
    </row>
    <row r="269" spans="1:27" x14ac:dyDescent="0.15">
      <c r="A269" s="15">
        <v>14006</v>
      </c>
      <c r="B269" s="15" t="s">
        <v>816</v>
      </c>
      <c r="C269" s="14">
        <v>4</v>
      </c>
      <c r="H269" s="16" t="s">
        <v>517</v>
      </c>
      <c r="L269" s="16" t="s">
        <v>817</v>
      </c>
      <c r="O269" s="14">
        <v>3</v>
      </c>
      <c r="R269" s="14" t="e" cm="1">
        <f t="array" aca="1" ref="R269" ca="1">_xlfn.TEXTJOIN(",",TRUE,MID(SUBSTITUTE(SUBSTITUTE(SUBSTITUTE(SUBSTITUTE($Q269,"↑","1"),"↓","2"),"←","3"),"→","4"),ROW(INDIRECT("1:"&amp;LEN($Q269))),1))</f>
        <v>#REF!</v>
      </c>
      <c r="T269" s="14">
        <v>10</v>
      </c>
      <c r="U269" s="14" t="s">
        <v>51</v>
      </c>
      <c r="V269" s="14">
        <v>20302</v>
      </c>
      <c r="W269" s="14" t="s">
        <v>383</v>
      </c>
      <c r="Y269" s="14">
        <v>2</v>
      </c>
      <c r="Z269" s="14">
        <v>0</v>
      </c>
      <c r="AA269" s="14">
        <v>1</v>
      </c>
    </row>
    <row r="270" spans="1:27" ht="33" x14ac:dyDescent="0.15">
      <c r="A270" s="15">
        <v>14007</v>
      </c>
      <c r="B270" s="20" t="s">
        <v>818</v>
      </c>
      <c r="C270" s="14">
        <v>4</v>
      </c>
      <c r="E270" s="16" t="s">
        <v>85</v>
      </c>
      <c r="H270" s="16" t="s">
        <v>819</v>
      </c>
      <c r="L270" s="16" t="s">
        <v>820</v>
      </c>
      <c r="O270" s="14">
        <v>1</v>
      </c>
      <c r="P270" s="14">
        <v>4</v>
      </c>
      <c r="Q270" s="14" t="s">
        <v>821</v>
      </c>
      <c r="R270" s="14" t="str" cm="1">
        <f t="array" aca="1" ref="R270" ca="1">_xlfn.TEXTJOIN(",",TRUE,MID(SUBSTITUTE(SUBSTITUTE(SUBSTITUTE(SUBSTITUTE($Q270,"↑","1"),"↓","2"),"←","3"),"→","4"),ROW(INDIRECT("1:"&amp;LEN($Q270))),1))</f>
        <v>3,1</v>
      </c>
      <c r="T270" s="14">
        <v>3</v>
      </c>
      <c r="U270" s="14">
        <v>3</v>
      </c>
      <c r="V270" s="14">
        <v>20502</v>
      </c>
      <c r="W270" s="14" t="s">
        <v>296</v>
      </c>
      <c r="Y270" s="14">
        <v>2</v>
      </c>
      <c r="Z270" s="14">
        <v>0</v>
      </c>
      <c r="AA270" s="14">
        <v>1</v>
      </c>
    </row>
    <row r="271" spans="1:27" ht="33" x14ac:dyDescent="0.15">
      <c r="A271" s="15">
        <v>14008</v>
      </c>
      <c r="B271" s="20" t="s">
        <v>822</v>
      </c>
      <c r="C271" s="14">
        <v>4</v>
      </c>
      <c r="E271" s="16" t="s">
        <v>85</v>
      </c>
      <c r="H271" s="16" t="s">
        <v>823</v>
      </c>
      <c r="L271" s="16" t="s">
        <v>824</v>
      </c>
      <c r="O271" s="14">
        <v>1</v>
      </c>
      <c r="P271" s="14">
        <v>4</v>
      </c>
      <c r="Q271" s="14" t="s">
        <v>418</v>
      </c>
      <c r="R271" s="14" t="str" cm="1">
        <f t="array" aca="1" ref="R271" ca="1">_xlfn.TEXTJOIN(",",TRUE,MID(SUBSTITUTE(SUBSTITUTE(SUBSTITUTE(SUBSTITUTE($Q271,"↑","1"),"↓","2"),"←","3"),"→","4"),ROW(INDIRECT("1:"&amp;LEN($Q271))),1))</f>
        <v>3,2</v>
      </c>
      <c r="T271" s="14">
        <v>3</v>
      </c>
      <c r="U271" s="14">
        <v>3</v>
      </c>
      <c r="V271" s="14">
        <v>20502</v>
      </c>
      <c r="W271" s="14" t="s">
        <v>296</v>
      </c>
      <c r="Y271" s="14">
        <v>2</v>
      </c>
      <c r="Z271" s="14">
        <v>0</v>
      </c>
      <c r="AA271" s="14">
        <v>1</v>
      </c>
    </row>
    <row r="272" spans="1:27" x14ac:dyDescent="0.15">
      <c r="A272" s="15">
        <v>14009</v>
      </c>
      <c r="B272" s="15" t="s">
        <v>825</v>
      </c>
      <c r="C272" s="14">
        <v>4</v>
      </c>
      <c r="E272" s="16" t="s">
        <v>826</v>
      </c>
      <c r="H272" s="16" t="s">
        <v>827</v>
      </c>
      <c r="N272" s="16" t="s">
        <v>201</v>
      </c>
      <c r="O272" s="14">
        <v>2</v>
      </c>
      <c r="Q272" s="14" t="s">
        <v>418</v>
      </c>
      <c r="R272" s="14" t="str" cm="1">
        <f t="array" aca="1" ref="R272" ca="1">_xlfn.TEXTJOIN(",",TRUE,MID(SUBSTITUTE(SUBSTITUTE(SUBSTITUTE(SUBSTITUTE($Q272,"↑","1"),"↓","2"),"←","3"),"→","4"),ROW(INDIRECT("1:"&amp;LEN($Q272))),1))</f>
        <v>3,2</v>
      </c>
      <c r="T272" s="14" t="s">
        <v>51</v>
      </c>
      <c r="U272" s="14">
        <v>15</v>
      </c>
      <c r="V272" s="14">
        <v>20406</v>
      </c>
      <c r="W272" s="14" t="s">
        <v>828</v>
      </c>
      <c r="Y272" s="14">
        <v>2</v>
      </c>
      <c r="Z272" s="14">
        <v>0</v>
      </c>
      <c r="AA272" s="14">
        <v>1</v>
      </c>
    </row>
    <row r="273" spans="1:27" x14ac:dyDescent="0.15">
      <c r="A273" s="15">
        <v>14010</v>
      </c>
      <c r="B273" s="15" t="s">
        <v>829</v>
      </c>
      <c r="C273" s="14">
        <v>4</v>
      </c>
      <c r="H273" s="16" t="s">
        <v>830</v>
      </c>
      <c r="R273" s="14" t="e" cm="1">
        <f t="array" aca="1" ref="R273" ca="1">_xlfn.TEXTJOIN(",",TRUE,MID(SUBSTITUTE(SUBSTITUTE(SUBSTITUTE(SUBSTITUTE($Q273,"↑","1"),"↓","2"),"←","3"),"→","4"),ROW(INDIRECT("1:"&amp;LEN($Q273))),1))</f>
        <v>#REF!</v>
      </c>
      <c r="V273" s="14">
        <v>20302</v>
      </c>
      <c r="W273" s="14" t="s">
        <v>383</v>
      </c>
      <c r="Y273" s="14">
        <v>2</v>
      </c>
      <c r="Z273" s="14">
        <v>1</v>
      </c>
      <c r="AA273" s="14">
        <v>1</v>
      </c>
    </row>
    <row r="274" spans="1:27" x14ac:dyDescent="0.15">
      <c r="A274" s="15">
        <v>14011</v>
      </c>
      <c r="B274" s="15" t="s">
        <v>831</v>
      </c>
      <c r="C274" s="14">
        <v>4</v>
      </c>
      <c r="E274" s="16" t="s">
        <v>832</v>
      </c>
      <c r="H274" s="16" t="s">
        <v>833</v>
      </c>
      <c r="R274" s="14" t="e" cm="1">
        <f t="array" aca="1" ref="R274" ca="1">_xlfn.TEXTJOIN(",",TRUE,MID(SUBSTITUTE(SUBSTITUTE(SUBSTITUTE(SUBSTITUTE($Q274,"↑","1"),"↓","2"),"←","3"),"→","4"),ROW(INDIRECT("1:"&amp;LEN($Q274))),1))</f>
        <v>#REF!</v>
      </c>
      <c r="V274" s="14">
        <v>20302</v>
      </c>
      <c r="W274" s="14" t="s">
        <v>383</v>
      </c>
      <c r="Y274" s="14">
        <v>2</v>
      </c>
      <c r="Z274" s="14">
        <v>1</v>
      </c>
      <c r="AA274" s="14">
        <v>1</v>
      </c>
    </row>
    <row r="275" spans="1:27" x14ac:dyDescent="0.15">
      <c r="A275" s="15">
        <v>14012</v>
      </c>
      <c r="B275" s="15" t="s">
        <v>834</v>
      </c>
      <c r="C275" s="14">
        <v>4</v>
      </c>
      <c r="R275" s="14" t="e" cm="1">
        <f t="array" aca="1" ref="R275" ca="1">_xlfn.TEXTJOIN(",",TRUE,MID(SUBSTITUTE(SUBSTITUTE(SUBSTITUTE(SUBSTITUTE($Q275,"↑","1"),"↓","2"),"←","3"),"→","4"),ROW(INDIRECT("1:"&amp;LEN($Q275))),1))</f>
        <v>#REF!</v>
      </c>
      <c r="V275" s="14">
        <v>20505</v>
      </c>
      <c r="W275" s="14" t="s">
        <v>346</v>
      </c>
      <c r="AA275" s="14">
        <v>1</v>
      </c>
    </row>
    <row r="276" spans="1:27" x14ac:dyDescent="0.15">
      <c r="A276" s="15">
        <v>14013</v>
      </c>
      <c r="B276" s="15" t="s">
        <v>835</v>
      </c>
      <c r="C276" s="14">
        <v>4</v>
      </c>
      <c r="E276" s="16" t="s">
        <v>836</v>
      </c>
      <c r="H276" s="16" t="s">
        <v>837</v>
      </c>
      <c r="Q276" s="14" t="s">
        <v>838</v>
      </c>
      <c r="R276" s="14" t="str" cm="1">
        <f t="array" aca="1" ref="R276" ca="1">_xlfn.TEXTJOIN(",",TRUE,MID(SUBSTITUTE(SUBSTITUTE(SUBSTITUTE(SUBSTITUTE($Q276,"↑","1"),"↓","2"),"←","3"),"→","4"),ROW(INDIRECT("1:"&amp;LEN($Q276))),1))</f>
        <v>3,1,4</v>
      </c>
      <c r="S276" s="14">
        <v>1</v>
      </c>
      <c r="V276" s="14">
        <v>20505</v>
      </c>
      <c r="W276" s="14" t="s">
        <v>346</v>
      </c>
      <c r="Y276" s="14">
        <v>2</v>
      </c>
      <c r="Z276" s="14">
        <v>0</v>
      </c>
      <c r="AA276" s="14">
        <v>1</v>
      </c>
    </row>
    <row r="277" spans="1:27" x14ac:dyDescent="0.15">
      <c r="A277" s="15">
        <v>14014</v>
      </c>
      <c r="B277" s="20" t="s">
        <v>839</v>
      </c>
      <c r="C277" s="14">
        <v>4</v>
      </c>
      <c r="E277" s="16" t="s">
        <v>1097</v>
      </c>
      <c r="H277" s="16" t="s">
        <v>827</v>
      </c>
      <c r="Q277" s="14" t="s">
        <v>719</v>
      </c>
      <c r="R277" s="14" t="str" cm="1">
        <f t="array" aca="1" ref="R277" ca="1">_xlfn.TEXTJOIN(",",TRUE,MID(SUBSTITUTE(SUBSTITUTE(SUBSTITUTE(SUBSTITUTE($Q277,"↑","1"),"↓","2"),"←","3"),"→","4"),ROW(INDIRECT("1:"&amp;LEN($Q277))),1))</f>
        <v>1,4</v>
      </c>
      <c r="S277" s="14">
        <v>2</v>
      </c>
      <c r="V277" s="14">
        <v>20505</v>
      </c>
      <c r="W277" s="14" t="s">
        <v>346</v>
      </c>
      <c r="Y277" s="14">
        <v>2</v>
      </c>
      <c r="Z277" s="14">
        <v>0</v>
      </c>
      <c r="AA277" s="14">
        <v>1</v>
      </c>
    </row>
    <row r="278" spans="1:27" x14ac:dyDescent="0.15">
      <c r="A278" s="15">
        <v>14015</v>
      </c>
      <c r="B278" s="15" t="s">
        <v>840</v>
      </c>
      <c r="C278" s="14">
        <v>4</v>
      </c>
      <c r="E278" s="16" t="s">
        <v>841</v>
      </c>
      <c r="H278" s="16" t="s">
        <v>827</v>
      </c>
      <c r="Q278" s="14" t="s">
        <v>842</v>
      </c>
      <c r="R278" s="14" t="str" cm="1">
        <f t="array" aca="1" ref="R278" ca="1">_xlfn.TEXTJOIN(",",TRUE,MID(SUBSTITUTE(SUBSTITUTE(SUBSTITUTE(SUBSTITUTE($Q278,"↑","1"),"↓","2"),"←","3"),"→","4"),ROW(INDIRECT("1:"&amp;LEN($Q278))),1))</f>
        <v>1,1,2</v>
      </c>
      <c r="S278" s="14">
        <v>1</v>
      </c>
      <c r="U278" s="14">
        <v>10</v>
      </c>
      <c r="V278" s="14">
        <v>20304</v>
      </c>
      <c r="W278" s="14" t="s">
        <v>388</v>
      </c>
      <c r="Y278" s="14">
        <v>2</v>
      </c>
      <c r="Z278" s="14">
        <v>0</v>
      </c>
      <c r="AA278" s="14">
        <v>1</v>
      </c>
    </row>
    <row r="279" spans="1:27" x14ac:dyDescent="0.15">
      <c r="A279" s="15">
        <v>14016</v>
      </c>
      <c r="B279" s="15" t="s">
        <v>843</v>
      </c>
      <c r="C279" s="14">
        <v>4</v>
      </c>
      <c r="E279" s="16" t="s">
        <v>195</v>
      </c>
      <c r="G279" s="16" t="s">
        <v>248</v>
      </c>
      <c r="H279" s="16" t="s">
        <v>844</v>
      </c>
      <c r="O279" s="14">
        <v>3</v>
      </c>
      <c r="R279" s="14" t="e" cm="1">
        <f t="array" aca="1" ref="R279" ca="1">_xlfn.TEXTJOIN(",",TRUE,MID(SUBSTITUTE(SUBSTITUTE(SUBSTITUTE(SUBSTITUTE($Q279,"↑","1"),"↓","2"),"←","3"),"→","4"),ROW(INDIRECT("1:"&amp;LEN($Q279))),1))</f>
        <v>#REF!</v>
      </c>
      <c r="U279" s="14">
        <v>10</v>
      </c>
      <c r="V279" s="14">
        <v>20602</v>
      </c>
      <c r="W279" s="14" t="s">
        <v>789</v>
      </c>
      <c r="Y279" s="14">
        <v>2</v>
      </c>
      <c r="Z279" s="14">
        <v>0</v>
      </c>
      <c r="AA279" s="14">
        <v>1</v>
      </c>
    </row>
    <row r="280" spans="1:27" ht="33" x14ac:dyDescent="0.15">
      <c r="A280" s="15">
        <v>14017</v>
      </c>
      <c r="B280" s="15" t="s">
        <v>845</v>
      </c>
      <c r="C280" s="14">
        <v>4</v>
      </c>
      <c r="E280" s="16" t="s">
        <v>846</v>
      </c>
      <c r="H280" s="16" t="s">
        <v>847</v>
      </c>
      <c r="L280" s="16" t="s">
        <v>848</v>
      </c>
      <c r="O280" s="14">
        <v>7</v>
      </c>
      <c r="Q280" s="14" t="s">
        <v>292</v>
      </c>
      <c r="R280" s="14" t="str" cm="1">
        <f t="array" aca="1" ref="R280" ca="1">_xlfn.TEXTJOIN(",",TRUE,MID(SUBSTITUTE(SUBSTITUTE(SUBSTITUTE(SUBSTITUTE($Q280,"↑","1"),"↓","2"),"←","3"),"→","4"),ROW(INDIRECT("1:"&amp;LEN($Q280))),1))</f>
        <v>1,2,3,4</v>
      </c>
      <c r="S280" s="14">
        <v>2</v>
      </c>
      <c r="V280" s="14">
        <v>20602</v>
      </c>
      <c r="W280" s="14" t="s">
        <v>789</v>
      </c>
      <c r="Y280" s="14">
        <v>2</v>
      </c>
      <c r="Z280" s="14">
        <v>1</v>
      </c>
      <c r="AA280" s="14">
        <v>1</v>
      </c>
    </row>
    <row r="281" spans="1:27" x14ac:dyDescent="0.15">
      <c r="A281" s="15">
        <v>14018</v>
      </c>
      <c r="B281" s="15" t="s">
        <v>849</v>
      </c>
      <c r="C281" s="14">
        <v>4</v>
      </c>
      <c r="E281" s="16" t="s">
        <v>108</v>
      </c>
      <c r="H281" s="16" t="s">
        <v>109</v>
      </c>
      <c r="O281" s="14">
        <v>1</v>
      </c>
      <c r="P281" s="14">
        <v>0</v>
      </c>
      <c r="Q281" s="14" t="s">
        <v>230</v>
      </c>
      <c r="R281" s="14" t="str" cm="1">
        <f t="array" aca="1" ref="R281" ca="1">_xlfn.TEXTJOIN(",",TRUE,MID(SUBSTITUTE(SUBSTITUTE(SUBSTITUTE(SUBSTITUTE($Q281,"↑","1"),"↓","2"),"←","3"),"→","4"),ROW(INDIRECT("1:"&amp;LEN($Q281))),1))</f>
        <v>2</v>
      </c>
      <c r="S281" s="14">
        <v>3</v>
      </c>
      <c r="V281" s="14">
        <v>20101</v>
      </c>
      <c r="W281" s="14" t="s">
        <v>71</v>
      </c>
      <c r="Y281" s="14">
        <v>2</v>
      </c>
      <c r="Z281" s="14">
        <v>0</v>
      </c>
      <c r="AA281" s="14">
        <v>1</v>
      </c>
    </row>
    <row r="282" spans="1:27" ht="33" x14ac:dyDescent="0.15">
      <c r="A282" s="15">
        <v>14019</v>
      </c>
      <c r="B282" s="15" t="s">
        <v>850</v>
      </c>
      <c r="C282" s="14">
        <v>4</v>
      </c>
      <c r="E282" s="16" t="s">
        <v>851</v>
      </c>
      <c r="H282" s="16" t="s">
        <v>852</v>
      </c>
      <c r="R282" s="14" t="e" cm="1">
        <f t="array" aca="1" ref="R282" ca="1">_xlfn.TEXTJOIN(",",TRUE,MID(SUBSTITUTE(SUBSTITUTE(SUBSTITUTE(SUBSTITUTE($Q282,"↑","1"),"↓","2"),"←","3"),"→","4"),ROW(INDIRECT("1:"&amp;LEN($Q282))),1))</f>
        <v>#REF!</v>
      </c>
      <c r="U282" s="14">
        <v>10</v>
      </c>
      <c r="V282" s="14">
        <v>20301</v>
      </c>
      <c r="W282" s="14" t="s">
        <v>57</v>
      </c>
      <c r="Y282" s="14">
        <v>2</v>
      </c>
      <c r="Z282" s="14">
        <v>0</v>
      </c>
      <c r="AA282" s="14">
        <v>1</v>
      </c>
    </row>
    <row r="283" spans="1:27" x14ac:dyDescent="0.15">
      <c r="A283" s="15">
        <v>14020</v>
      </c>
      <c r="B283" s="20" t="s">
        <v>853</v>
      </c>
      <c r="C283" s="14">
        <v>4</v>
      </c>
      <c r="E283" s="16" t="s">
        <v>854</v>
      </c>
      <c r="H283" s="16" t="s">
        <v>855</v>
      </c>
      <c r="Q283" s="14" t="s">
        <v>856</v>
      </c>
      <c r="R283" s="14" t="str" cm="1">
        <f t="array" aca="1" ref="R283" ca="1">_xlfn.TEXTJOIN(",",TRUE,MID(SUBSTITUTE(SUBSTITUTE(SUBSTITUTE(SUBSTITUTE($Q283,"↑","1"),"↓","2"),"←","3"),"→","4"),ROW(INDIRECT("1:"&amp;LEN($Q283))),1))</f>
        <v>2,3,1</v>
      </c>
      <c r="U283" s="14">
        <v>15</v>
      </c>
      <c r="V283" s="14">
        <v>20303</v>
      </c>
      <c r="W283" s="14" t="s">
        <v>83</v>
      </c>
      <c r="Y283" s="14">
        <v>2</v>
      </c>
      <c r="Z283" s="14">
        <v>0</v>
      </c>
      <c r="AA283" s="14">
        <v>1</v>
      </c>
    </row>
    <row r="284" spans="1:27" ht="33" x14ac:dyDescent="0.15">
      <c r="A284" s="15">
        <v>14021</v>
      </c>
      <c r="B284" s="15" t="s">
        <v>857</v>
      </c>
      <c r="C284" s="14">
        <v>4</v>
      </c>
      <c r="G284" s="16" t="s">
        <v>858</v>
      </c>
      <c r="H284" s="16" t="s">
        <v>859</v>
      </c>
      <c r="L284" s="16" t="s">
        <v>860</v>
      </c>
      <c r="P284" s="14">
        <v>999</v>
      </c>
      <c r="Q284" s="14" t="s">
        <v>856</v>
      </c>
      <c r="R284" s="14" t="str" cm="1">
        <f t="array" aca="1" ref="R284" ca="1">_xlfn.TEXTJOIN(",",TRUE,MID(SUBSTITUTE(SUBSTITUTE(SUBSTITUTE(SUBSTITUTE($Q284,"↑","1"),"↓","2"),"←","3"),"→","4"),ROW(INDIRECT("1:"&amp;LEN($Q284))),1))</f>
        <v>2,3,1</v>
      </c>
      <c r="U284" s="14">
        <v>7500</v>
      </c>
      <c r="V284" s="14">
        <v>20001</v>
      </c>
      <c r="W284" s="14" t="s">
        <v>135</v>
      </c>
      <c r="Y284" s="14">
        <v>2</v>
      </c>
      <c r="Z284" s="14">
        <v>0</v>
      </c>
      <c r="AA284" s="14">
        <v>0</v>
      </c>
    </row>
    <row r="285" spans="1:27" ht="33" x14ac:dyDescent="0.15">
      <c r="A285" s="15">
        <v>14022</v>
      </c>
      <c r="B285" s="15" t="s">
        <v>857</v>
      </c>
      <c r="C285" s="14">
        <v>4</v>
      </c>
      <c r="G285" s="16" t="s">
        <v>858</v>
      </c>
      <c r="H285" s="16" t="s">
        <v>861</v>
      </c>
      <c r="L285" s="16" t="s">
        <v>860</v>
      </c>
      <c r="P285" s="14">
        <v>999</v>
      </c>
      <c r="Q285" s="14" t="s">
        <v>856</v>
      </c>
      <c r="R285" s="14" t="str" cm="1">
        <f t="array" aca="1" ref="R285" ca="1">_xlfn.TEXTJOIN(",",TRUE,MID(SUBSTITUTE(SUBSTITUTE(SUBSTITUTE(SUBSTITUTE($Q285,"↑","1"),"↓","2"),"←","3"),"→","4"),ROW(INDIRECT("1:"&amp;LEN($Q285))),1))</f>
        <v>2,3,1</v>
      </c>
      <c r="U285" s="14">
        <v>7500</v>
      </c>
      <c r="V285" s="14">
        <v>20001</v>
      </c>
      <c r="W285" s="14" t="s">
        <v>135</v>
      </c>
      <c r="Y285" s="14">
        <v>2</v>
      </c>
      <c r="Z285" s="14">
        <v>0</v>
      </c>
      <c r="AA285" s="14">
        <v>0</v>
      </c>
    </row>
    <row r="286" spans="1:27" x14ac:dyDescent="0.15">
      <c r="A286" s="15">
        <v>14023</v>
      </c>
      <c r="B286" s="15" t="s">
        <v>862</v>
      </c>
      <c r="C286" s="14">
        <v>4</v>
      </c>
      <c r="H286" s="16" t="s">
        <v>863</v>
      </c>
      <c r="J286" s="16" t="s">
        <v>864</v>
      </c>
      <c r="P286" s="14">
        <v>999</v>
      </c>
      <c r="Q286" s="14" t="s">
        <v>542</v>
      </c>
      <c r="R286" s="14" t="str" cm="1">
        <f t="array" aca="1" ref="R286" ca="1">_xlfn.TEXTJOIN(",",TRUE,MID(SUBSTITUTE(SUBSTITUTE(SUBSTITUTE(SUBSTITUTE($Q286,"↑","1"),"↓","2"),"←","3"),"→","4"),ROW(INDIRECT("1:"&amp;LEN($Q286))),1))</f>
        <v>1,4,3</v>
      </c>
      <c r="U286" s="14">
        <v>500</v>
      </c>
      <c r="V286" s="14">
        <v>20001</v>
      </c>
      <c r="W286" s="14" t="s">
        <v>135</v>
      </c>
      <c r="Y286" s="14">
        <v>2</v>
      </c>
      <c r="Z286" s="14">
        <v>1</v>
      </c>
      <c r="AA286" s="14">
        <v>0</v>
      </c>
    </row>
    <row r="287" spans="1:27" x14ac:dyDescent="0.15">
      <c r="A287" s="15">
        <v>14024</v>
      </c>
      <c r="B287" s="15" t="s">
        <v>862</v>
      </c>
      <c r="C287" s="14">
        <v>4</v>
      </c>
      <c r="H287" s="16" t="s">
        <v>865</v>
      </c>
      <c r="J287" s="16" t="s">
        <v>864</v>
      </c>
      <c r="P287" s="14">
        <v>999</v>
      </c>
      <c r="Q287" s="14" t="s">
        <v>542</v>
      </c>
      <c r="R287" s="14" t="str" cm="1">
        <f t="array" aca="1" ref="R287" ca="1">_xlfn.TEXTJOIN(",",TRUE,MID(SUBSTITUTE(SUBSTITUTE(SUBSTITUTE(SUBSTITUTE($Q287,"↑","1"),"↓","2"),"←","3"),"→","4"),ROW(INDIRECT("1:"&amp;LEN($Q287))),1))</f>
        <v>1,4,3</v>
      </c>
      <c r="U287" s="14">
        <v>500</v>
      </c>
      <c r="V287" s="14">
        <v>20001</v>
      </c>
      <c r="W287" s="14" t="s">
        <v>135</v>
      </c>
      <c r="Y287" s="14">
        <v>2</v>
      </c>
      <c r="Z287" s="14">
        <v>1</v>
      </c>
      <c r="AA287" s="14">
        <v>0</v>
      </c>
    </row>
    <row r="288" spans="1:27" ht="33" x14ac:dyDescent="0.15">
      <c r="A288" s="15">
        <v>14025</v>
      </c>
      <c r="B288" s="15" t="s">
        <v>866</v>
      </c>
      <c r="C288" s="14">
        <v>4</v>
      </c>
      <c r="G288" s="16" t="s">
        <v>867</v>
      </c>
      <c r="H288" s="16" t="s">
        <v>55</v>
      </c>
      <c r="J288" s="16" t="s">
        <v>868</v>
      </c>
      <c r="Q288" s="14" t="s">
        <v>869</v>
      </c>
      <c r="R288" s="14" t="str" cm="1">
        <f t="array" aca="1" ref="R288" ca="1">_xlfn.TEXTJOIN(",",TRUE,MID(SUBSTITUTE(SUBSTITUTE(SUBSTITUTE(SUBSTITUTE($Q288,"↑","1"),"↓","2"),"←","3"),"→","4"),ROW(INDIRECT("1:"&amp;LEN($Q288))),1))</f>
        <v>1,1,1</v>
      </c>
      <c r="U288" s="14">
        <v>25</v>
      </c>
      <c r="V288" s="14">
        <v>20001</v>
      </c>
      <c r="W288" s="14" t="s">
        <v>135</v>
      </c>
      <c r="Y288" s="14">
        <v>2</v>
      </c>
      <c r="Z288" s="14">
        <v>0</v>
      </c>
      <c r="AA288" s="14">
        <v>1</v>
      </c>
    </row>
    <row r="289" spans="1:27" ht="33" x14ac:dyDescent="0.15">
      <c r="A289" s="15">
        <v>14026</v>
      </c>
      <c r="B289" s="15" t="s">
        <v>866</v>
      </c>
      <c r="C289" s="14">
        <v>4</v>
      </c>
      <c r="G289" s="16" t="s">
        <v>867</v>
      </c>
      <c r="H289" s="16" t="s">
        <v>55</v>
      </c>
      <c r="J289" s="16" t="s">
        <v>868</v>
      </c>
      <c r="Q289" s="14" t="s">
        <v>870</v>
      </c>
      <c r="R289" s="14" t="str" cm="1">
        <f t="array" aca="1" ref="R289" ca="1">_xlfn.TEXTJOIN(",",TRUE,MID(SUBSTITUTE(SUBSTITUTE(SUBSTITUTE(SUBSTITUTE($Q289,"↑","1"),"↓","2"),"←","3"),"→","4"),ROW(INDIRECT("1:"&amp;LEN($Q289))),1))</f>
        <v>2,2,2</v>
      </c>
      <c r="U289" s="14">
        <v>25</v>
      </c>
      <c r="V289" s="14">
        <v>20001</v>
      </c>
      <c r="W289" s="14" t="s">
        <v>135</v>
      </c>
      <c r="Y289" s="14">
        <v>2</v>
      </c>
      <c r="Z289" s="14">
        <v>0</v>
      </c>
      <c r="AA289" s="14">
        <v>1</v>
      </c>
    </row>
    <row r="290" spans="1:27" x14ac:dyDescent="0.15">
      <c r="A290" s="15">
        <v>14027</v>
      </c>
      <c r="B290" s="15" t="s">
        <v>871</v>
      </c>
      <c r="C290" s="14">
        <v>4</v>
      </c>
      <c r="H290" s="16" t="s">
        <v>872</v>
      </c>
      <c r="N290" s="16" t="s">
        <v>873</v>
      </c>
      <c r="O290" s="14">
        <v>3</v>
      </c>
      <c r="P290" s="14">
        <v>8</v>
      </c>
      <c r="Q290" s="14" t="s">
        <v>92</v>
      </c>
      <c r="R290" s="14" t="str" cm="1">
        <f t="array" aca="1" ref="R290" ca="1">_xlfn.TEXTJOIN(",",TRUE,MID(SUBSTITUTE(SUBSTITUTE(SUBSTITUTE(SUBSTITUTE($Q290,"↑","1"),"↓","2"),"←","3"),"→","4"),ROW(INDIRECT("1:"&amp;LEN($Q290))),1))</f>
        <v>1,1</v>
      </c>
      <c r="V290" s="14">
        <v>20502</v>
      </c>
      <c r="W290" s="14" t="s">
        <v>296</v>
      </c>
      <c r="Y290" s="14">
        <v>2</v>
      </c>
      <c r="Z290" s="14">
        <v>0</v>
      </c>
      <c r="AA290" s="14">
        <v>1</v>
      </c>
    </row>
    <row r="291" spans="1:27" x14ac:dyDescent="0.15">
      <c r="A291" s="15">
        <v>14028</v>
      </c>
      <c r="B291" s="15" t="s">
        <v>874</v>
      </c>
      <c r="C291" s="14">
        <v>4</v>
      </c>
      <c r="E291" s="16" t="s">
        <v>875</v>
      </c>
      <c r="G291" s="16" t="s">
        <v>169</v>
      </c>
      <c r="H291" s="16" t="s">
        <v>876</v>
      </c>
      <c r="N291" s="16" t="s">
        <v>877</v>
      </c>
      <c r="R291" s="14" t="e" cm="1">
        <f t="array" aca="1" ref="R291" ca="1">_xlfn.TEXTJOIN(",",TRUE,MID(SUBSTITUTE(SUBSTITUTE(SUBSTITUTE(SUBSTITUTE($Q291,"↑","1"),"↓","2"),"←","3"),"→","4"),ROW(INDIRECT("1:"&amp;LEN($Q291))),1))</f>
        <v>#REF!</v>
      </c>
      <c r="V291" s="14">
        <v>20502</v>
      </c>
      <c r="W291" s="14" t="s">
        <v>296</v>
      </c>
      <c r="Y291" s="14">
        <v>2</v>
      </c>
      <c r="Z291" s="14">
        <v>0</v>
      </c>
      <c r="AA291" s="14">
        <v>1</v>
      </c>
    </row>
    <row r="292" spans="1:27" x14ac:dyDescent="0.15">
      <c r="A292" s="15">
        <v>14029</v>
      </c>
      <c r="B292" s="15" t="s">
        <v>878</v>
      </c>
      <c r="C292" s="14">
        <v>4</v>
      </c>
      <c r="P292" s="14">
        <v>999</v>
      </c>
      <c r="R292" s="14" t="e" cm="1">
        <f t="array" aca="1" ref="R292" ca="1">_xlfn.TEXTJOIN(",",TRUE,MID(SUBSTITUTE(SUBSTITUTE(SUBSTITUTE(SUBSTITUTE($Q292,"↑","1"),"↓","2"),"←","3"),"→","4"),ROW(INDIRECT("1:"&amp;LEN($Q292))),1))</f>
        <v>#REF!</v>
      </c>
      <c r="V292" s="14">
        <v>20702</v>
      </c>
      <c r="W292" s="14" t="s">
        <v>157</v>
      </c>
      <c r="Y292" s="14">
        <v>1</v>
      </c>
      <c r="Z292" s="14">
        <v>1</v>
      </c>
      <c r="AA292" s="14">
        <v>0</v>
      </c>
    </row>
    <row r="293" spans="1:27" ht="49.5" x14ac:dyDescent="0.15">
      <c r="A293" s="15">
        <v>14030</v>
      </c>
      <c r="B293" s="15" t="s">
        <v>879</v>
      </c>
      <c r="C293" s="14">
        <v>4</v>
      </c>
      <c r="E293" s="16" t="s">
        <v>880</v>
      </c>
      <c r="H293" s="16" t="s">
        <v>397</v>
      </c>
      <c r="J293" s="16" t="s">
        <v>881</v>
      </c>
      <c r="L293" s="16" t="s">
        <v>195</v>
      </c>
      <c r="Q293" s="14" t="s">
        <v>151</v>
      </c>
      <c r="R293" s="14" t="str" cm="1">
        <f t="array" aca="1" ref="R293" ca="1">_xlfn.TEXTJOIN(",",TRUE,MID(SUBSTITUTE(SUBSTITUTE(SUBSTITUTE(SUBSTITUTE($Q293,"↑","1"),"↓","2"),"←","3"),"→","4"),ROW(INDIRECT("1:"&amp;LEN($Q293))),1))</f>
        <v>2,2,3,4</v>
      </c>
      <c r="V293" s="14">
        <v>20001</v>
      </c>
      <c r="W293" s="14" t="s">
        <v>135</v>
      </c>
      <c r="Y293" s="14">
        <v>2</v>
      </c>
      <c r="Z293" s="14">
        <v>0</v>
      </c>
      <c r="AA293" s="14">
        <v>1</v>
      </c>
    </row>
    <row r="294" spans="1:27" x14ac:dyDescent="0.15">
      <c r="A294" s="15">
        <v>14031</v>
      </c>
      <c r="B294" s="15" t="s">
        <v>882</v>
      </c>
      <c r="C294" s="14">
        <v>4</v>
      </c>
      <c r="H294" s="16" t="s">
        <v>883</v>
      </c>
      <c r="N294" s="16" t="s">
        <v>884</v>
      </c>
      <c r="P294" s="14">
        <v>1</v>
      </c>
      <c r="Q294" s="14" t="s">
        <v>167</v>
      </c>
      <c r="R294" s="14" t="str" cm="1">
        <f t="array" aca="1" ref="R294" ca="1">_xlfn.TEXTJOIN(",",TRUE,MID(SUBSTITUTE(SUBSTITUTE(SUBSTITUTE(SUBSTITUTE($Q294,"↑","1"),"↓","2"),"←","3"),"→","4"),ROW(INDIRECT("1:"&amp;LEN($Q294))),1))</f>
        <v>2,4</v>
      </c>
      <c r="T294" s="14" t="s">
        <v>51</v>
      </c>
      <c r="U294" s="14" t="s">
        <v>51</v>
      </c>
      <c r="V294" s="14">
        <v>20301</v>
      </c>
      <c r="W294" s="14" t="s">
        <v>57</v>
      </c>
      <c r="Y294" s="14">
        <v>2</v>
      </c>
      <c r="Z294" s="14">
        <v>0</v>
      </c>
      <c r="AA294" s="14">
        <v>1</v>
      </c>
    </row>
    <row r="295" spans="1:27" x14ac:dyDescent="0.15">
      <c r="A295" s="15">
        <v>14032</v>
      </c>
      <c r="B295" s="15" t="s">
        <v>885</v>
      </c>
      <c r="C295" s="14">
        <v>4</v>
      </c>
      <c r="E295" s="16" t="s">
        <v>195</v>
      </c>
      <c r="G295" s="16" t="s">
        <v>248</v>
      </c>
      <c r="H295" s="16" t="s">
        <v>886</v>
      </c>
      <c r="L295" s="16" t="s">
        <v>450</v>
      </c>
      <c r="P295" s="14">
        <v>5</v>
      </c>
      <c r="Q295" s="14" t="s">
        <v>737</v>
      </c>
      <c r="R295" s="14" t="str" cm="1">
        <f t="array" aca="1" ref="R295" ca="1">_xlfn.TEXTJOIN(",",TRUE,MID(SUBSTITUTE(SUBSTITUTE(SUBSTITUTE(SUBSTITUTE($Q295,"↑","1"),"↓","2"),"←","3"),"→","4"),ROW(INDIRECT("1:"&amp;LEN($Q295))),1))</f>
        <v>4,1,1</v>
      </c>
      <c r="T295" s="14">
        <v>10</v>
      </c>
      <c r="V295" s="14">
        <v>20402</v>
      </c>
      <c r="W295" s="14" t="s">
        <v>564</v>
      </c>
      <c r="Y295" s="14">
        <v>2</v>
      </c>
      <c r="Z295" s="14">
        <v>0</v>
      </c>
      <c r="AA295" s="14">
        <v>1</v>
      </c>
    </row>
    <row r="296" spans="1:27" x14ac:dyDescent="0.15">
      <c r="A296" s="15">
        <v>14033</v>
      </c>
      <c r="B296" s="15" t="s">
        <v>887</v>
      </c>
      <c r="C296" s="14">
        <v>4</v>
      </c>
      <c r="H296" s="16" t="s">
        <v>888</v>
      </c>
      <c r="P296" s="14">
        <v>12</v>
      </c>
      <c r="R296" s="14" t="e" cm="1">
        <f t="array" aca="1" ref="R296" ca="1">_xlfn.TEXTJOIN(",",TRUE,MID(SUBSTITUTE(SUBSTITUTE(SUBSTITUTE(SUBSTITUTE($Q296,"↑","1"),"↓","2"),"←","3"),"→","4"),ROW(INDIRECT("1:"&amp;LEN($Q296))),1))</f>
        <v>#REF!</v>
      </c>
      <c r="V296" s="14">
        <v>20407</v>
      </c>
      <c r="W296" s="14" t="s">
        <v>779</v>
      </c>
      <c r="Y296" s="14">
        <v>2</v>
      </c>
      <c r="Z296" s="14">
        <v>1</v>
      </c>
      <c r="AA296" s="14">
        <v>1</v>
      </c>
    </row>
    <row r="297" spans="1:27" ht="33" x14ac:dyDescent="0.15">
      <c r="A297" s="15">
        <v>14034</v>
      </c>
      <c r="B297" s="15" t="s">
        <v>889</v>
      </c>
      <c r="C297" s="14">
        <v>4</v>
      </c>
      <c r="H297" s="16" t="s">
        <v>890</v>
      </c>
      <c r="P297" s="14">
        <v>7</v>
      </c>
      <c r="Q297" s="14" t="s">
        <v>92</v>
      </c>
      <c r="R297" s="14" t="str" cm="1">
        <f t="array" aca="1" ref="R297" ca="1">_xlfn.TEXTJOIN(",",TRUE,MID(SUBSTITUTE(SUBSTITUTE(SUBSTITUTE(SUBSTITUTE($Q297,"↑","1"),"↓","2"),"←","3"),"→","4"),ROW(INDIRECT("1:"&amp;LEN($Q297))),1))</f>
        <v>1,1</v>
      </c>
      <c r="V297" s="14">
        <v>20603</v>
      </c>
      <c r="W297" s="14" t="s">
        <v>891</v>
      </c>
      <c r="Y297" s="14">
        <v>2</v>
      </c>
      <c r="Z297" s="14">
        <v>0</v>
      </c>
      <c r="AA297" s="14">
        <v>1</v>
      </c>
    </row>
    <row r="298" spans="1:27" ht="33" x14ac:dyDescent="0.15">
      <c r="A298" s="15">
        <v>14035</v>
      </c>
      <c r="B298" s="15" t="s">
        <v>892</v>
      </c>
      <c r="C298" s="14">
        <v>4</v>
      </c>
      <c r="E298" s="16" t="s">
        <v>893</v>
      </c>
      <c r="H298" s="16" t="s">
        <v>894</v>
      </c>
      <c r="P298" s="14">
        <v>2</v>
      </c>
      <c r="R298" s="14" t="e" cm="1">
        <f t="array" aca="1" ref="R298" ca="1">_xlfn.TEXTJOIN(",",TRUE,MID(SUBSTITUTE(SUBSTITUTE(SUBSTITUTE(SUBSTITUTE($Q298,"↑","1"),"↓","2"),"←","3"),"→","4"),ROW(INDIRECT("1:"&amp;LEN($Q298))),1))</f>
        <v>#REF!</v>
      </c>
      <c r="V298" s="14">
        <v>20603</v>
      </c>
      <c r="W298" s="14" t="s">
        <v>891</v>
      </c>
      <c r="Y298" s="14">
        <v>2</v>
      </c>
      <c r="Z298" s="14">
        <v>0</v>
      </c>
      <c r="AA298" s="14">
        <v>1</v>
      </c>
    </row>
    <row r="299" spans="1:27" x14ac:dyDescent="0.15">
      <c r="A299" s="15">
        <v>14036</v>
      </c>
      <c r="B299" s="15" t="s">
        <v>895</v>
      </c>
      <c r="C299" s="14">
        <v>4</v>
      </c>
      <c r="E299" s="16" t="s">
        <v>896</v>
      </c>
      <c r="H299" s="16" t="s">
        <v>897</v>
      </c>
      <c r="J299" s="16" t="s">
        <v>898</v>
      </c>
      <c r="P299" s="14">
        <v>999</v>
      </c>
      <c r="R299" s="14" t="e" cm="1">
        <f t="array" aca="1" ref="R299" ca="1">_xlfn.TEXTJOIN(",",TRUE,MID(SUBSTITUTE(SUBSTITUTE(SUBSTITUTE(SUBSTITUTE($Q299,"↑","1"),"↓","2"),"←","3"),"→","4"),ROW(INDIRECT("1:"&amp;LEN($Q299))),1))</f>
        <v>#REF!</v>
      </c>
      <c r="T299" s="14">
        <v>50</v>
      </c>
      <c r="V299" s="14">
        <v>20001</v>
      </c>
      <c r="W299" s="14" t="s">
        <v>135</v>
      </c>
      <c r="Y299" s="14">
        <v>2</v>
      </c>
      <c r="Z299" s="14">
        <v>0</v>
      </c>
      <c r="AA299" s="14">
        <v>0</v>
      </c>
    </row>
    <row r="300" spans="1:27" x14ac:dyDescent="0.15">
      <c r="A300" s="15">
        <v>14037</v>
      </c>
      <c r="B300" s="15" t="s">
        <v>899</v>
      </c>
      <c r="C300" s="14">
        <v>4</v>
      </c>
      <c r="E300" s="16" t="s">
        <v>896</v>
      </c>
      <c r="H300" s="16" t="s">
        <v>900</v>
      </c>
      <c r="J300" s="16" t="s">
        <v>901</v>
      </c>
      <c r="P300" s="14">
        <v>999</v>
      </c>
      <c r="R300" s="14" t="e" cm="1">
        <f t="array" aca="1" ref="R300" ca="1">_xlfn.TEXTJOIN(",",TRUE,MID(SUBSTITUTE(SUBSTITUTE(SUBSTITUTE(SUBSTITUTE($Q300,"↑","1"),"↓","2"),"←","3"),"→","4"),ROW(INDIRECT("1:"&amp;LEN($Q300))),1))</f>
        <v>#REF!</v>
      </c>
      <c r="U300" s="14">
        <v>50</v>
      </c>
      <c r="V300" s="14">
        <v>20001</v>
      </c>
      <c r="W300" s="14" t="s">
        <v>135</v>
      </c>
      <c r="Y300" s="14">
        <v>2</v>
      </c>
      <c r="Z300" s="14">
        <v>0</v>
      </c>
      <c r="AA300" s="14">
        <v>0</v>
      </c>
    </row>
    <row r="301" spans="1:27" ht="33" x14ac:dyDescent="0.15">
      <c r="A301" s="15">
        <v>14038</v>
      </c>
      <c r="B301" s="15" t="s">
        <v>902</v>
      </c>
      <c r="C301" s="14">
        <v>4</v>
      </c>
      <c r="H301" s="16" t="s">
        <v>903</v>
      </c>
      <c r="J301" s="16" t="s">
        <v>904</v>
      </c>
      <c r="P301" s="14">
        <v>10</v>
      </c>
      <c r="R301" s="14" t="e" cm="1">
        <f t="array" aca="1" ref="R301" ca="1">_xlfn.TEXTJOIN(",",TRUE,MID(SUBSTITUTE(SUBSTITUTE(SUBSTITUTE(SUBSTITUTE($Q301,"↑","1"),"↓","2"),"←","3"),"→","4"),ROW(INDIRECT("1:"&amp;LEN($Q301))),1))</f>
        <v>#REF!</v>
      </c>
      <c r="V301" s="14">
        <v>20302</v>
      </c>
      <c r="W301" s="14" t="s">
        <v>383</v>
      </c>
      <c r="Y301" s="14">
        <v>2</v>
      </c>
      <c r="Z301" s="14">
        <v>1</v>
      </c>
      <c r="AA301" s="14">
        <v>1</v>
      </c>
    </row>
    <row r="302" spans="1:27" x14ac:dyDescent="0.15">
      <c r="A302" s="15">
        <v>14039</v>
      </c>
      <c r="B302" s="23" t="s">
        <v>905</v>
      </c>
      <c r="C302" s="14">
        <v>4</v>
      </c>
      <c r="E302" s="16" t="s">
        <v>177</v>
      </c>
      <c r="H302" s="16" t="s">
        <v>397</v>
      </c>
      <c r="L302" s="16" t="s">
        <v>408</v>
      </c>
      <c r="N302" s="16" t="s">
        <v>906</v>
      </c>
      <c r="P302" s="14">
        <v>6</v>
      </c>
      <c r="R302" s="14" t="e" cm="1">
        <f t="array" aca="1" ref="R302" ca="1">_xlfn.TEXTJOIN(",",TRUE,MID(SUBSTITUTE(SUBSTITUTE(SUBSTITUTE(SUBSTITUTE($Q302,"↑","1"),"↓","2"),"←","3"),"→","4"),ROW(INDIRECT("1:"&amp;LEN($Q302))),1))</f>
        <v>#REF!</v>
      </c>
      <c r="U302" s="14">
        <v>10</v>
      </c>
      <c r="V302" s="14">
        <v>20701</v>
      </c>
      <c r="W302" s="14" t="s">
        <v>293</v>
      </c>
      <c r="Y302" s="14">
        <v>2</v>
      </c>
      <c r="Z302" s="14">
        <v>0</v>
      </c>
      <c r="AA302" s="14">
        <v>1</v>
      </c>
    </row>
    <row r="303" spans="1:27" x14ac:dyDescent="0.15">
      <c r="A303" s="15">
        <v>14040</v>
      </c>
      <c r="B303" s="15" t="s">
        <v>907</v>
      </c>
      <c r="C303" s="14">
        <v>4</v>
      </c>
      <c r="E303" s="16" t="s">
        <v>182</v>
      </c>
      <c r="H303" s="16" t="s">
        <v>908</v>
      </c>
      <c r="P303" s="14">
        <v>5</v>
      </c>
      <c r="Q303" s="14" t="s">
        <v>124</v>
      </c>
      <c r="R303" s="14" t="str" cm="1">
        <f t="array" aca="1" ref="R303" ca="1">_xlfn.TEXTJOIN(",",TRUE,MID(SUBSTITUTE(SUBSTITUTE(SUBSTITUTE(SUBSTITUTE($Q303,"↑","1"),"↓","2"),"←","3"),"→","4"),ROW(INDIRECT("1:"&amp;LEN($Q303))),1))</f>
        <v>1,2</v>
      </c>
      <c r="U303" s="14">
        <v>5</v>
      </c>
      <c r="V303" s="14">
        <v>20205</v>
      </c>
      <c r="W303" s="14" t="s">
        <v>180</v>
      </c>
      <c r="Y303" s="14">
        <v>2</v>
      </c>
      <c r="Z303" s="14">
        <v>0</v>
      </c>
      <c r="AA303" s="14">
        <v>1</v>
      </c>
    </row>
    <row r="304" spans="1:27" x14ac:dyDescent="0.15">
      <c r="A304" s="15">
        <v>14041</v>
      </c>
      <c r="B304" s="15" t="s">
        <v>909</v>
      </c>
      <c r="C304" s="14">
        <v>4</v>
      </c>
      <c r="E304" s="16" t="s">
        <v>910</v>
      </c>
      <c r="H304" s="16" t="s">
        <v>911</v>
      </c>
      <c r="P304" s="14">
        <v>7</v>
      </c>
      <c r="Q304" s="14" t="s">
        <v>418</v>
      </c>
      <c r="R304" s="14" t="str" cm="1">
        <f t="array" aca="1" ref="R304" ca="1">_xlfn.TEXTJOIN(",",TRUE,MID(SUBSTITUTE(SUBSTITUTE(SUBSTITUTE(SUBSTITUTE($Q304,"↑","1"),"↓","2"),"←","3"),"→","4"),ROW(INDIRECT("1:"&amp;LEN($Q304))),1))</f>
        <v>3,2</v>
      </c>
      <c r="U304" s="14">
        <v>15</v>
      </c>
      <c r="V304" s="14">
        <v>20402</v>
      </c>
      <c r="W304" s="14" t="s">
        <v>567</v>
      </c>
      <c r="Y304" s="14">
        <v>2</v>
      </c>
      <c r="Z304" s="14">
        <v>0</v>
      </c>
      <c r="AA304" s="14">
        <v>1</v>
      </c>
    </row>
    <row r="305" spans="1:27" x14ac:dyDescent="0.15">
      <c r="A305" s="15">
        <v>14042</v>
      </c>
      <c r="B305" s="15" t="s">
        <v>912</v>
      </c>
      <c r="C305" s="14">
        <v>4</v>
      </c>
      <c r="H305" s="16" t="s">
        <v>913</v>
      </c>
      <c r="L305" s="16" t="s">
        <v>914</v>
      </c>
      <c r="Q305" s="14" t="s">
        <v>365</v>
      </c>
      <c r="R305" s="14" t="str" cm="1">
        <f t="array" aca="1" ref="R305" ca="1">_xlfn.TEXTJOIN(",",TRUE,MID(SUBSTITUTE(SUBSTITUTE(SUBSTITUTE(SUBSTITUTE($Q305,"↑","1"),"↓","2"),"←","3"),"→","4"),ROW(INDIRECT("1:"&amp;LEN($Q305))),1))</f>
        <v>3,4</v>
      </c>
      <c r="T305" s="14">
        <v>5</v>
      </c>
      <c r="V305" s="14">
        <v>20201</v>
      </c>
      <c r="W305" s="14" t="s">
        <v>61</v>
      </c>
      <c r="Y305" s="14">
        <v>2</v>
      </c>
      <c r="Z305" s="14">
        <v>0</v>
      </c>
      <c r="AA305" s="14">
        <v>1</v>
      </c>
    </row>
    <row r="306" spans="1:27" ht="33" x14ac:dyDescent="0.15">
      <c r="A306" s="15">
        <v>14043</v>
      </c>
      <c r="C306" s="14">
        <v>4</v>
      </c>
      <c r="H306" s="16" t="s">
        <v>915</v>
      </c>
      <c r="J306" s="16" t="s">
        <v>916</v>
      </c>
      <c r="Q306" s="14" t="s">
        <v>142</v>
      </c>
      <c r="R306" s="14" t="str" cm="1">
        <f t="array" aca="1" ref="R306" ca="1">_xlfn.TEXTJOIN(",",TRUE,MID(SUBSTITUTE(SUBSTITUTE(SUBSTITUTE(SUBSTITUTE($Q306,"↑","1"),"↓","2"),"←","3"),"→","4"),ROW(INDIRECT("1:"&amp;LEN($Q306))),1))</f>
        <v>2,1</v>
      </c>
      <c r="U306" s="14">
        <v>30</v>
      </c>
      <c r="V306" s="14">
        <v>20201</v>
      </c>
      <c r="W306" s="14" t="s">
        <v>61</v>
      </c>
      <c r="Y306" s="14">
        <v>2</v>
      </c>
      <c r="Z306" s="14">
        <v>1</v>
      </c>
      <c r="AA306" s="14">
        <v>1</v>
      </c>
    </row>
    <row r="307" spans="1:27" x14ac:dyDescent="0.15">
      <c r="A307" s="15">
        <v>14044</v>
      </c>
      <c r="B307" s="15" t="s">
        <v>917</v>
      </c>
      <c r="C307" s="14">
        <v>4</v>
      </c>
      <c r="H307" s="16" t="s">
        <v>918</v>
      </c>
      <c r="J307" s="16" t="s">
        <v>919</v>
      </c>
      <c r="R307" s="14" t="e" cm="1">
        <f t="array" aca="1" ref="R307" ca="1">_xlfn.TEXTJOIN(",",TRUE,MID(SUBSTITUTE(SUBSTITUTE(SUBSTITUTE(SUBSTITUTE($Q307,"↑","1"),"↓","2"),"←","3"),"→","4"),ROW(INDIRECT("1:"&amp;LEN($Q307))),1))</f>
        <v>#REF!</v>
      </c>
      <c r="V307" s="14">
        <v>20201</v>
      </c>
      <c r="W307" s="14" t="s">
        <v>61</v>
      </c>
      <c r="Y307" s="14">
        <v>2</v>
      </c>
      <c r="Z307" s="14">
        <v>1</v>
      </c>
      <c r="AA307" s="14">
        <v>1</v>
      </c>
    </row>
    <row r="308" spans="1:27" x14ac:dyDescent="0.15">
      <c r="A308" s="15">
        <v>14045</v>
      </c>
      <c r="B308" s="15" t="s">
        <v>920</v>
      </c>
      <c r="C308" s="14">
        <v>4</v>
      </c>
      <c r="R308" s="14" t="e" cm="1">
        <f t="array" aca="1" ref="R308" ca="1">_xlfn.TEXTJOIN(",",TRUE,MID(SUBSTITUTE(SUBSTITUTE(SUBSTITUTE(SUBSTITUTE($Q308,"↑","1"),"↓","2"),"←","3"),"→","4"),ROW(INDIRECT("1:"&amp;LEN($Q308))),1))</f>
        <v>#REF!</v>
      </c>
    </row>
    <row r="309" spans="1:27" ht="33" x14ac:dyDescent="0.15">
      <c r="A309" s="15">
        <v>14046</v>
      </c>
      <c r="B309" s="15" t="s">
        <v>921</v>
      </c>
      <c r="C309" s="14">
        <v>4</v>
      </c>
      <c r="H309" s="16" t="s">
        <v>922</v>
      </c>
      <c r="O309" s="14">
        <v>6</v>
      </c>
      <c r="P309" s="14">
        <v>9</v>
      </c>
      <c r="R309" s="14" t="e" cm="1">
        <f t="array" aca="1" ref="R309" ca="1">_xlfn.TEXTJOIN(",",TRUE,MID(SUBSTITUTE(SUBSTITUTE(SUBSTITUTE(SUBSTITUTE($Q309,"↑","1"),"↓","2"),"←","3"),"→","4"),ROW(INDIRECT("1:"&amp;LEN($Q309))),1))</f>
        <v>#REF!</v>
      </c>
      <c r="V309" s="14">
        <v>20402</v>
      </c>
      <c r="W309" s="14" t="s">
        <v>713</v>
      </c>
      <c r="Y309" s="14">
        <v>2</v>
      </c>
      <c r="Z309" s="14">
        <v>0</v>
      </c>
      <c r="AA309" s="14">
        <v>1</v>
      </c>
    </row>
    <row r="310" spans="1:27" x14ac:dyDescent="0.15">
      <c r="A310" s="15">
        <v>14047</v>
      </c>
      <c r="B310" s="15" t="s">
        <v>923</v>
      </c>
      <c r="C310" s="14">
        <v>4</v>
      </c>
      <c r="E310" s="16" t="s">
        <v>924</v>
      </c>
      <c r="H310" s="16" t="s">
        <v>925</v>
      </c>
      <c r="O310" s="14">
        <v>1</v>
      </c>
      <c r="P310" s="14">
        <v>5</v>
      </c>
      <c r="Q310" s="14" t="s">
        <v>230</v>
      </c>
      <c r="R310" s="14" t="str" cm="1">
        <f t="array" aca="1" ref="R310" ca="1">_xlfn.TEXTJOIN(",",TRUE,MID(SUBSTITUTE(SUBSTITUTE(SUBSTITUTE(SUBSTITUTE($Q310,"↑","1"),"↓","2"),"←","3"),"→","4"),ROW(INDIRECT("1:"&amp;LEN($Q310))),1))</f>
        <v>2</v>
      </c>
      <c r="S310" s="14">
        <v>2</v>
      </c>
      <c r="V310" s="14">
        <v>20407</v>
      </c>
      <c r="W310" s="14" t="s">
        <v>779</v>
      </c>
      <c r="Y310" s="14">
        <v>2</v>
      </c>
      <c r="Z310" s="14">
        <v>0</v>
      </c>
      <c r="AA310" s="14">
        <v>0</v>
      </c>
    </row>
    <row r="311" spans="1:27" x14ac:dyDescent="0.15">
      <c r="A311" s="15">
        <v>14048</v>
      </c>
      <c r="C311" s="14">
        <v>4</v>
      </c>
      <c r="R311" s="14" t="e" cm="1">
        <f t="array" aca="1" ref="R311" ca="1">_xlfn.TEXTJOIN(",",TRUE,MID(SUBSTITUTE(SUBSTITUTE(SUBSTITUTE(SUBSTITUTE($Q311,"↑","1"),"↓","2"),"←","3"),"→","4"),ROW(INDIRECT("1:"&amp;LEN($Q311))),1))</f>
        <v>#REF!</v>
      </c>
      <c r="V311" s="14">
        <v>20201</v>
      </c>
      <c r="W311" s="14" t="s">
        <v>61</v>
      </c>
      <c r="AA311" s="14">
        <v>1</v>
      </c>
    </row>
    <row r="312" spans="1:27" x14ac:dyDescent="0.15">
      <c r="A312" s="15">
        <v>14049</v>
      </c>
      <c r="C312" s="14">
        <v>4</v>
      </c>
      <c r="E312" s="16" t="s">
        <v>650</v>
      </c>
      <c r="H312" s="16" t="s">
        <v>926</v>
      </c>
      <c r="O312" s="14">
        <v>6</v>
      </c>
      <c r="Q312" s="14" t="s">
        <v>56</v>
      </c>
      <c r="R312" s="14" t="str" cm="1">
        <f t="array" aca="1" ref="R312" ca="1">_xlfn.TEXTJOIN(",",TRUE,MID(SUBSTITUTE(SUBSTITUTE(SUBSTITUTE(SUBSTITUTE($Q312,"↑","1"),"↓","2"),"←","3"),"→","4"),ROW(INDIRECT("1:"&amp;LEN($Q312))),1))</f>
        <v>3,3</v>
      </c>
      <c r="V312" s="14">
        <v>20307</v>
      </c>
      <c r="W312" s="14" t="s">
        <v>440</v>
      </c>
      <c r="Y312" s="14">
        <v>2</v>
      </c>
      <c r="Z312" s="14">
        <v>0</v>
      </c>
      <c r="AA312" s="14">
        <v>1</v>
      </c>
    </row>
    <row r="313" spans="1:27" x14ac:dyDescent="0.15">
      <c r="A313" s="15">
        <v>14050</v>
      </c>
      <c r="C313" s="14">
        <v>4</v>
      </c>
      <c r="E313" s="16" t="s">
        <v>650</v>
      </c>
      <c r="H313" s="16" t="s">
        <v>927</v>
      </c>
      <c r="O313" s="14">
        <v>6</v>
      </c>
      <c r="Q313" s="14" t="s">
        <v>609</v>
      </c>
      <c r="R313" s="14" t="str" cm="1">
        <f t="array" aca="1" ref="R313" ca="1">_xlfn.TEXTJOIN(",",TRUE,MID(SUBSTITUTE(SUBSTITUTE(SUBSTITUTE(SUBSTITUTE($Q313,"↑","1"),"↓","2"),"←","3"),"→","4"),ROW(INDIRECT("1:"&amp;LEN($Q313))),1))</f>
        <v>4,4</v>
      </c>
      <c r="V313" s="14">
        <v>20307</v>
      </c>
      <c r="W313" s="14" t="s">
        <v>440</v>
      </c>
      <c r="Y313" s="14">
        <v>2</v>
      </c>
      <c r="Z313" s="14">
        <v>0</v>
      </c>
      <c r="AA313" s="14">
        <v>1</v>
      </c>
    </row>
    <row r="314" spans="1:27" x14ac:dyDescent="0.15">
      <c r="A314" s="15">
        <v>14051</v>
      </c>
      <c r="C314" s="14">
        <v>4</v>
      </c>
      <c r="E314" s="16" t="s">
        <v>650</v>
      </c>
      <c r="H314" s="16" t="s">
        <v>928</v>
      </c>
      <c r="O314" s="14">
        <v>6</v>
      </c>
      <c r="Q314" s="14" t="s">
        <v>142</v>
      </c>
      <c r="R314" s="14" t="str" cm="1">
        <f t="array" aca="1" ref="R314" ca="1">_xlfn.TEXTJOIN(",",TRUE,MID(SUBSTITUTE(SUBSTITUTE(SUBSTITUTE(SUBSTITUTE($Q314,"↑","1"),"↓","2"),"←","3"),"→","4"),ROW(INDIRECT("1:"&amp;LEN($Q314))),1))</f>
        <v>2,1</v>
      </c>
      <c r="V314" s="14">
        <v>20307</v>
      </c>
      <c r="W314" s="14" t="s">
        <v>440</v>
      </c>
      <c r="Y314" s="14">
        <v>2</v>
      </c>
      <c r="Z314" s="14">
        <v>0</v>
      </c>
      <c r="AA314" s="14">
        <v>1</v>
      </c>
    </row>
    <row r="315" spans="1:27" x14ac:dyDescent="0.15">
      <c r="A315" s="15">
        <v>14052</v>
      </c>
      <c r="B315" s="15" t="s">
        <v>929</v>
      </c>
      <c r="C315" s="14">
        <v>4</v>
      </c>
      <c r="E315" s="16" t="s">
        <v>731</v>
      </c>
      <c r="H315" s="16" t="s">
        <v>930</v>
      </c>
      <c r="N315" s="16" t="s">
        <v>573</v>
      </c>
      <c r="O315" s="14">
        <v>4</v>
      </c>
      <c r="P315" s="14">
        <v>1</v>
      </c>
      <c r="Q315" s="14" t="s">
        <v>365</v>
      </c>
      <c r="R315" s="14" t="str" cm="1">
        <f t="array" aca="1" ref="R315" ca="1">_xlfn.TEXTJOIN(",",TRUE,MID(SUBSTITUTE(SUBSTITUTE(SUBSTITUTE(SUBSTITUTE($Q315,"↑","1"),"↓","2"),"←","3"),"→","4"),ROW(INDIRECT("1:"&amp;LEN($Q315))),1))</f>
        <v>3,4</v>
      </c>
      <c r="T315" s="14">
        <v>50</v>
      </c>
      <c r="U315" s="14" t="s">
        <v>51</v>
      </c>
      <c r="V315" s="14">
        <v>20507</v>
      </c>
      <c r="W315" s="14" t="s">
        <v>442</v>
      </c>
      <c r="Y315" s="14">
        <v>2</v>
      </c>
      <c r="Z315" s="14">
        <v>0</v>
      </c>
      <c r="AA315" s="14">
        <v>1</v>
      </c>
    </row>
    <row r="316" spans="1:27" x14ac:dyDescent="0.15">
      <c r="A316" s="15">
        <v>14053</v>
      </c>
      <c r="B316" s="15" t="s">
        <v>931</v>
      </c>
      <c r="C316" s="14">
        <v>4</v>
      </c>
      <c r="E316" s="16" t="s">
        <v>932</v>
      </c>
      <c r="H316" s="16" t="s">
        <v>933</v>
      </c>
      <c r="N316" s="16" t="s">
        <v>934</v>
      </c>
      <c r="O316" s="14">
        <v>5</v>
      </c>
      <c r="P316" s="14">
        <v>1</v>
      </c>
      <c r="Q316" s="14" t="s">
        <v>365</v>
      </c>
      <c r="R316" s="14" t="str" cm="1">
        <f t="array" aca="1" ref="R316" ca="1">_xlfn.TEXTJOIN(",",TRUE,MID(SUBSTITUTE(SUBSTITUTE(SUBSTITUTE(SUBSTITUTE($Q316,"↑","1"),"↓","2"),"←","3"),"→","4"),ROW(INDIRECT("1:"&amp;LEN($Q316))),1))</f>
        <v>3,4</v>
      </c>
      <c r="T316" s="14">
        <v>25</v>
      </c>
      <c r="U316" s="14">
        <v>25</v>
      </c>
      <c r="V316" s="14">
        <v>20507</v>
      </c>
      <c r="W316" s="14" t="s">
        <v>442</v>
      </c>
      <c r="Y316" s="14">
        <v>2</v>
      </c>
      <c r="Z316" s="14">
        <v>0</v>
      </c>
      <c r="AA316" s="14">
        <v>1</v>
      </c>
    </row>
    <row r="317" spans="1:27" ht="33" x14ac:dyDescent="0.15">
      <c r="A317" s="15">
        <v>14054</v>
      </c>
      <c r="B317" s="15" t="s">
        <v>935</v>
      </c>
      <c r="C317" s="14">
        <v>4</v>
      </c>
      <c r="E317" s="16" t="s">
        <v>936</v>
      </c>
      <c r="H317" s="16" t="s">
        <v>937</v>
      </c>
      <c r="N317" s="16" t="s">
        <v>938</v>
      </c>
      <c r="O317" s="14">
        <v>6</v>
      </c>
      <c r="P317" s="14">
        <v>1</v>
      </c>
      <c r="Q317" s="14" t="s">
        <v>365</v>
      </c>
      <c r="R317" s="14" t="str" cm="1">
        <f t="array" aca="1" ref="R317" ca="1">_xlfn.TEXTJOIN(",",TRUE,MID(SUBSTITUTE(SUBSTITUTE(SUBSTITUTE(SUBSTITUTE($Q317,"↑","1"),"↓","2"),"←","3"),"→","4"),ROW(INDIRECT("1:"&amp;LEN($Q317))),1))</f>
        <v>3,4</v>
      </c>
      <c r="T317" s="14" t="s">
        <v>51</v>
      </c>
      <c r="U317" s="14">
        <v>50</v>
      </c>
      <c r="V317" s="14">
        <v>20507</v>
      </c>
      <c r="W317" s="14" t="s">
        <v>442</v>
      </c>
      <c r="Y317" s="14">
        <v>2</v>
      </c>
      <c r="Z317" s="14">
        <v>0</v>
      </c>
      <c r="AA317" s="14">
        <v>1</v>
      </c>
    </row>
    <row r="318" spans="1:27" x14ac:dyDescent="0.15">
      <c r="A318" s="15">
        <v>14055</v>
      </c>
      <c r="C318" s="14">
        <v>4</v>
      </c>
      <c r="H318" s="16" t="s">
        <v>939</v>
      </c>
      <c r="L318" s="16" t="s">
        <v>940</v>
      </c>
      <c r="O318" s="14">
        <v>6</v>
      </c>
      <c r="P318" s="14">
        <v>99</v>
      </c>
      <c r="Q318" s="14" t="s">
        <v>821</v>
      </c>
      <c r="R318" s="14" t="str" cm="1">
        <f t="array" aca="1" ref="R318" ca="1">_xlfn.TEXTJOIN(",",TRUE,MID(SUBSTITUTE(SUBSTITUTE(SUBSTITUTE(SUBSTITUTE($Q318,"↑","1"),"↓","2"),"←","3"),"→","4"),ROW(INDIRECT("1:"&amp;LEN($Q318))),1))</f>
        <v>3,1</v>
      </c>
      <c r="T318" s="14">
        <v>5</v>
      </c>
      <c r="U318" s="14" t="s">
        <v>51</v>
      </c>
      <c r="V318" s="14">
        <v>20507</v>
      </c>
      <c r="W318" s="14" t="s">
        <v>442</v>
      </c>
      <c r="Y318" s="14">
        <v>2</v>
      </c>
      <c r="Z318" s="14">
        <v>0</v>
      </c>
      <c r="AA318" s="14">
        <v>0</v>
      </c>
    </row>
    <row r="319" spans="1:27" ht="49.5" x14ac:dyDescent="0.15">
      <c r="A319" s="15">
        <v>14056</v>
      </c>
      <c r="B319" s="15" t="s">
        <v>941</v>
      </c>
      <c r="C319" s="14">
        <v>4</v>
      </c>
      <c r="H319" s="16" t="s">
        <v>942</v>
      </c>
      <c r="O319" s="14">
        <v>1</v>
      </c>
      <c r="P319" s="14">
        <v>8</v>
      </c>
      <c r="Q319" s="14" t="s">
        <v>737</v>
      </c>
      <c r="R319" s="14" t="str" cm="1">
        <f t="array" aca="1" ref="R319" ca="1">_xlfn.TEXTJOIN(",",TRUE,MID(SUBSTITUTE(SUBSTITUTE(SUBSTITUTE(SUBSTITUTE($Q319,"↑","1"),"↓","2"),"←","3"),"→","4"),ROW(INDIRECT("1:"&amp;LEN($Q319))),1))</f>
        <v>4,1,1</v>
      </c>
      <c r="T319" s="14" t="s">
        <v>51</v>
      </c>
      <c r="U319" s="14" t="s">
        <v>51</v>
      </c>
      <c r="V319" s="14">
        <v>20507</v>
      </c>
      <c r="W319" s="14" t="s">
        <v>442</v>
      </c>
      <c r="Y319" s="14">
        <v>2</v>
      </c>
      <c r="Z319" s="14">
        <v>0</v>
      </c>
      <c r="AA319" s="14">
        <v>1</v>
      </c>
    </row>
    <row r="320" spans="1:27" x14ac:dyDescent="0.15">
      <c r="A320" s="15">
        <v>14057</v>
      </c>
      <c r="B320" s="15" t="s">
        <v>943</v>
      </c>
      <c r="C320" s="14">
        <v>4</v>
      </c>
      <c r="E320" s="16" t="s">
        <v>944</v>
      </c>
      <c r="H320" s="16" t="s">
        <v>945</v>
      </c>
      <c r="O320" s="14">
        <v>6</v>
      </c>
      <c r="P320" s="14">
        <v>8</v>
      </c>
      <c r="Q320" s="14" t="s">
        <v>946</v>
      </c>
      <c r="R320" s="14" t="str" cm="1">
        <f t="array" aca="1" ref="R320" ca="1">_xlfn.TEXTJOIN(",",TRUE,MID(SUBSTITUTE(SUBSTITUTE(SUBSTITUTE(SUBSTITUTE($Q320,"↑","1"),"↓","2"),"←","3"),"→","4"),ROW(INDIRECT("1:"&amp;LEN($Q320))),1))</f>
        <v>2,3,1,4</v>
      </c>
      <c r="T320" s="14" t="s">
        <v>51</v>
      </c>
      <c r="U320" s="14">
        <v>40</v>
      </c>
      <c r="V320" s="14">
        <v>20507</v>
      </c>
      <c r="W320" s="14" t="s">
        <v>442</v>
      </c>
      <c r="Y320" s="14">
        <v>2</v>
      </c>
      <c r="Z320" s="14">
        <v>1</v>
      </c>
      <c r="AA320" s="14">
        <v>1</v>
      </c>
    </row>
    <row r="321" spans="1:27" x14ac:dyDescent="0.15">
      <c r="A321" s="15">
        <v>14058</v>
      </c>
      <c r="B321" s="15" t="s">
        <v>947</v>
      </c>
      <c r="C321" s="14">
        <v>4</v>
      </c>
      <c r="H321" s="16" t="s">
        <v>948</v>
      </c>
      <c r="N321" s="16" t="s">
        <v>949</v>
      </c>
      <c r="O321" s="14">
        <v>5</v>
      </c>
      <c r="P321" s="14">
        <v>999</v>
      </c>
      <c r="Q321" s="14" t="s">
        <v>811</v>
      </c>
      <c r="R321" s="14" t="str" cm="1">
        <f t="array" aca="1" ref="R321" ca="1">_xlfn.TEXTJOIN(",",TRUE,MID(SUBSTITUTE(SUBSTITUTE(SUBSTITUTE(SUBSTITUTE($Q321,"↑","1"),"↓","2"),"←","3"),"→","4"),ROW(INDIRECT("1:"&amp;LEN($Q321))),1))</f>
        <v>2,3,2</v>
      </c>
      <c r="T321" s="14" t="s">
        <v>51</v>
      </c>
      <c r="U321" s="14">
        <v>30</v>
      </c>
      <c r="V321" s="14">
        <v>20507</v>
      </c>
      <c r="W321" s="14" t="s">
        <v>442</v>
      </c>
      <c r="Y321" s="14">
        <v>2</v>
      </c>
      <c r="Z321" s="14">
        <v>0</v>
      </c>
      <c r="AA321" s="14">
        <v>0</v>
      </c>
    </row>
    <row r="322" spans="1:27" x14ac:dyDescent="0.15">
      <c r="A322" s="15">
        <v>14059</v>
      </c>
      <c r="B322" s="15" t="s">
        <v>950</v>
      </c>
      <c r="C322" s="14">
        <v>4</v>
      </c>
      <c r="H322" s="16" t="s">
        <v>951</v>
      </c>
      <c r="L322" s="16" t="s">
        <v>952</v>
      </c>
      <c r="R322" s="14" t="e" cm="1">
        <f t="array" aca="1" ref="R322" ca="1">_xlfn.TEXTJOIN(",",TRUE,MID(SUBSTITUTE(SUBSTITUTE(SUBSTITUTE(SUBSTITUTE($Q322,"↑","1"),"↓","2"),"←","3"),"→","4"),ROW(INDIRECT("1:"&amp;LEN($Q322))),1))</f>
        <v>#REF!</v>
      </c>
      <c r="V322" s="14">
        <v>20406</v>
      </c>
      <c r="W322" s="14" t="s">
        <v>828</v>
      </c>
      <c r="Y322" s="14">
        <v>2</v>
      </c>
      <c r="Z322" s="14">
        <v>1</v>
      </c>
      <c r="AA322" s="14">
        <v>1</v>
      </c>
    </row>
    <row r="323" spans="1:27" x14ac:dyDescent="0.15">
      <c r="A323" s="15">
        <v>14060</v>
      </c>
      <c r="C323" s="14">
        <v>4</v>
      </c>
      <c r="H323" s="16" t="s">
        <v>953</v>
      </c>
      <c r="R323" s="14" t="e" cm="1">
        <f t="array" aca="1" ref="R323" ca="1">_xlfn.TEXTJOIN(",",TRUE,MID(SUBSTITUTE(SUBSTITUTE(SUBSTITUTE(SUBSTITUTE($Q323,"↑","1"),"↓","2"),"←","3"),"→","4"),ROW(INDIRECT("1:"&amp;LEN($Q323))),1))</f>
        <v>#REF!</v>
      </c>
      <c r="V323" s="14">
        <v>20203</v>
      </c>
      <c r="W323" s="14" t="s">
        <v>184</v>
      </c>
      <c r="Y323" s="14">
        <v>2</v>
      </c>
      <c r="Z323" s="14">
        <v>1</v>
      </c>
      <c r="AA323" s="14">
        <v>1</v>
      </c>
    </row>
    <row r="324" spans="1:27" ht="33" x14ac:dyDescent="0.15">
      <c r="A324" s="15">
        <v>14061</v>
      </c>
      <c r="C324" s="14">
        <v>4</v>
      </c>
      <c r="H324" s="16" t="s">
        <v>954</v>
      </c>
      <c r="R324" s="14" t="e" cm="1">
        <f t="array" aca="1" ref="R324" ca="1">_xlfn.TEXTJOIN(",",TRUE,MID(SUBSTITUTE(SUBSTITUTE(SUBSTITUTE(SUBSTITUTE($Q324,"↑","1"),"↓","2"),"←","3"),"→","4"),ROW(INDIRECT("1:"&amp;LEN($Q324))),1))</f>
        <v>#REF!</v>
      </c>
      <c r="U324" s="14">
        <v>35</v>
      </c>
      <c r="V324" s="14">
        <v>20405</v>
      </c>
      <c r="W324" s="14" t="s">
        <v>475</v>
      </c>
      <c r="Y324" s="14">
        <v>2</v>
      </c>
      <c r="Z324" s="14">
        <v>1</v>
      </c>
      <c r="AA324" s="14">
        <v>1</v>
      </c>
    </row>
    <row r="325" spans="1:27" x14ac:dyDescent="0.15">
      <c r="A325" s="15">
        <v>14062</v>
      </c>
      <c r="B325" s="15" t="s">
        <v>955</v>
      </c>
      <c r="C325" s="14">
        <v>4</v>
      </c>
      <c r="H325" s="16" t="s">
        <v>956</v>
      </c>
      <c r="L325" s="16" t="s">
        <v>195</v>
      </c>
      <c r="P325" s="14">
        <v>999</v>
      </c>
      <c r="R325" s="14" t="e" cm="1">
        <f t="array" aca="1" ref="R325" ca="1">_xlfn.TEXTJOIN(",",TRUE,MID(SUBSTITUTE(SUBSTITUTE(SUBSTITUTE(SUBSTITUTE($Q325,"↑","1"),"↓","2"),"←","3"),"→","4"),ROW(INDIRECT("1:"&amp;LEN($Q325))),1))</f>
        <v>#REF!</v>
      </c>
      <c r="V325" s="14">
        <v>20001</v>
      </c>
      <c r="W325" s="14" t="s">
        <v>135</v>
      </c>
      <c r="Y325" s="14">
        <v>2</v>
      </c>
      <c r="Z325" s="14">
        <v>1</v>
      </c>
      <c r="AA325" s="14">
        <v>0</v>
      </c>
    </row>
    <row r="326" spans="1:27" x14ac:dyDescent="0.15">
      <c r="A326" s="15">
        <v>14063</v>
      </c>
      <c r="B326" s="15" t="s">
        <v>957</v>
      </c>
      <c r="C326" s="14">
        <v>4</v>
      </c>
      <c r="H326" s="16" t="s">
        <v>958</v>
      </c>
      <c r="J326" s="16" t="s">
        <v>959</v>
      </c>
      <c r="R326" s="14" t="e" cm="1">
        <f t="array" aca="1" ref="R326" ca="1">_xlfn.TEXTJOIN(",",TRUE,MID(SUBSTITUTE(SUBSTITUTE(SUBSTITUTE(SUBSTITUTE($Q326,"↑","1"),"↓","2"),"←","3"),"→","4"),ROW(INDIRECT("1:"&amp;LEN($Q326))),1))</f>
        <v>#REF!</v>
      </c>
      <c r="V326" s="14">
        <v>20001</v>
      </c>
      <c r="W326" s="14" t="s">
        <v>135</v>
      </c>
      <c r="Y326" s="14">
        <v>1</v>
      </c>
      <c r="Z326" s="14">
        <v>1</v>
      </c>
      <c r="AA326" s="14">
        <v>0</v>
      </c>
    </row>
    <row r="327" spans="1:27" x14ac:dyDescent="0.15">
      <c r="A327" s="15">
        <v>14064</v>
      </c>
      <c r="B327" s="15" t="s">
        <v>960</v>
      </c>
      <c r="C327" s="14">
        <v>4</v>
      </c>
      <c r="E327" s="16" t="s">
        <v>94</v>
      </c>
      <c r="H327" s="16" t="s">
        <v>961</v>
      </c>
      <c r="N327" s="16" t="s">
        <v>1098</v>
      </c>
      <c r="P327" s="14">
        <v>999</v>
      </c>
      <c r="R327" s="14" t="e" cm="1">
        <f t="array" aca="1" ref="R327" ca="1">_xlfn.TEXTJOIN(",",TRUE,MID(SUBSTITUTE(SUBSTITUTE(SUBSTITUTE(SUBSTITUTE($Q327,"↑","1"),"↓","2"),"←","3"),"→","4"),ROW(INDIRECT("1:"&amp;LEN($Q327))),1))</f>
        <v>#REF!</v>
      </c>
      <c r="V327" s="14">
        <v>20001</v>
      </c>
      <c r="W327" s="14" t="s">
        <v>135</v>
      </c>
      <c r="Y327" s="14">
        <v>2</v>
      </c>
      <c r="Z327" s="14">
        <v>0</v>
      </c>
      <c r="AA327" s="14">
        <v>0</v>
      </c>
    </row>
    <row r="328" spans="1:27" x14ac:dyDescent="0.15">
      <c r="A328" s="15">
        <v>14065</v>
      </c>
      <c r="B328" s="15" t="s">
        <v>962</v>
      </c>
      <c r="C328" s="14">
        <v>4</v>
      </c>
      <c r="H328" s="16" t="s">
        <v>1091</v>
      </c>
      <c r="N328" s="16" t="s">
        <v>963</v>
      </c>
      <c r="O328" s="16"/>
      <c r="R328" s="14" t="e" cm="1">
        <f t="array" aca="1" ref="R328" ca="1">_xlfn.TEXTJOIN(",",TRUE,MID(SUBSTITUTE(SUBSTITUTE(SUBSTITUTE(SUBSTITUTE($Q328,"↑","1"),"↓","2"),"←","3"),"→","4"),ROW(INDIRECT("1:"&amp;LEN($Q328))),1))</f>
        <v>#REF!</v>
      </c>
      <c r="V328" s="14">
        <v>20409</v>
      </c>
      <c r="W328" s="14" t="s">
        <v>494</v>
      </c>
      <c r="Y328" s="14">
        <v>2</v>
      </c>
      <c r="Z328" s="14">
        <v>0</v>
      </c>
      <c r="AA328" s="14">
        <v>1</v>
      </c>
    </row>
    <row r="329" spans="1:27" x14ac:dyDescent="0.15">
      <c r="A329" s="15">
        <v>14066</v>
      </c>
      <c r="B329" s="15" t="s">
        <v>857</v>
      </c>
      <c r="C329" s="14">
        <v>4</v>
      </c>
      <c r="G329" s="16" t="s">
        <v>1067</v>
      </c>
      <c r="H329" s="16" t="s">
        <v>859</v>
      </c>
      <c r="L329" s="16" t="s">
        <v>965</v>
      </c>
      <c r="P329" s="14">
        <v>999</v>
      </c>
      <c r="Q329" s="14" t="s">
        <v>856</v>
      </c>
      <c r="R329" s="14" t="str" cm="1">
        <f t="array" aca="1" ref="R329" ca="1">_xlfn.TEXTJOIN(",",TRUE,MID(SUBSTITUTE(SUBSTITUTE(SUBSTITUTE(SUBSTITUTE($Q329,"↑","1"),"↓","2"),"←","3"),"→","4"),ROW(INDIRECT("1:"&amp;LEN($Q329))),1))</f>
        <v>2,3,1</v>
      </c>
      <c r="U329" s="14">
        <v>7500</v>
      </c>
      <c r="V329" s="14">
        <v>20001</v>
      </c>
      <c r="W329" s="14" t="s">
        <v>135</v>
      </c>
      <c r="Y329" s="14">
        <v>2</v>
      </c>
      <c r="Z329" s="14">
        <v>0</v>
      </c>
      <c r="AA329" s="14">
        <v>0</v>
      </c>
    </row>
    <row r="330" spans="1:27" x14ac:dyDescent="0.15">
      <c r="A330" s="15">
        <v>14067</v>
      </c>
      <c r="B330" s="15" t="s">
        <v>857</v>
      </c>
      <c r="C330" s="14">
        <v>4</v>
      </c>
      <c r="G330" s="16" t="s">
        <v>964</v>
      </c>
      <c r="H330" s="16" t="s">
        <v>861</v>
      </c>
      <c r="L330" s="16" t="s">
        <v>965</v>
      </c>
      <c r="P330" s="14">
        <v>999</v>
      </c>
      <c r="Q330" s="14" t="s">
        <v>856</v>
      </c>
      <c r="R330" s="14" t="str" cm="1">
        <f t="array" aca="1" ref="R330" ca="1">_xlfn.TEXTJOIN(",",TRUE,MID(SUBSTITUTE(SUBSTITUTE(SUBSTITUTE(SUBSTITUTE($Q330,"↑","1"),"↓","2"),"←","3"),"→","4"),ROW(INDIRECT("1:"&amp;LEN($Q330))),1))</f>
        <v>2,3,1</v>
      </c>
      <c r="U330" s="14">
        <v>7500</v>
      </c>
      <c r="V330" s="14">
        <v>20001</v>
      </c>
      <c r="W330" s="14" t="s">
        <v>135</v>
      </c>
      <c r="Y330" s="14">
        <v>2</v>
      </c>
      <c r="Z330" s="14">
        <v>0</v>
      </c>
      <c r="AA330" s="14">
        <v>0</v>
      </c>
    </row>
    <row r="331" spans="1:27" x14ac:dyDescent="0.15">
      <c r="A331" s="15">
        <v>14068</v>
      </c>
      <c r="B331" s="15" t="s">
        <v>862</v>
      </c>
      <c r="C331" s="14">
        <v>4</v>
      </c>
      <c r="H331" s="16" t="s">
        <v>863</v>
      </c>
      <c r="J331" s="16" t="s">
        <v>966</v>
      </c>
      <c r="P331" s="14">
        <v>999</v>
      </c>
      <c r="Q331" s="14" t="s">
        <v>542</v>
      </c>
      <c r="R331" s="14" t="str" cm="1">
        <f t="array" aca="1" ref="R331" ca="1">_xlfn.TEXTJOIN(",",TRUE,MID(SUBSTITUTE(SUBSTITUTE(SUBSTITUTE(SUBSTITUTE($Q331,"↑","1"),"↓","2"),"←","3"),"→","4"),ROW(INDIRECT("1:"&amp;LEN($Q331))),1))</f>
        <v>1,4,3</v>
      </c>
      <c r="Y331" s="14">
        <v>2</v>
      </c>
      <c r="Z331" s="14">
        <v>1</v>
      </c>
      <c r="AA331" s="14">
        <v>0</v>
      </c>
    </row>
    <row r="332" spans="1:27" x14ac:dyDescent="0.15">
      <c r="A332" s="15">
        <v>14069</v>
      </c>
      <c r="B332" s="15" t="s">
        <v>862</v>
      </c>
      <c r="C332" s="14">
        <v>4</v>
      </c>
      <c r="H332" s="16" t="s">
        <v>967</v>
      </c>
      <c r="J332" s="16" t="s">
        <v>966</v>
      </c>
      <c r="P332" s="14">
        <v>999</v>
      </c>
      <c r="Q332" s="14" t="s">
        <v>542</v>
      </c>
      <c r="R332" s="14" t="str" cm="1">
        <f t="array" aca="1" ref="R332" ca="1">_xlfn.TEXTJOIN(",",TRUE,MID(SUBSTITUTE(SUBSTITUTE(SUBSTITUTE(SUBSTITUTE($Q332,"↑","1"),"↓","2"),"←","3"),"→","4"),ROW(INDIRECT("1:"&amp;LEN($Q332))),1))</f>
        <v>1,4,3</v>
      </c>
      <c r="Y332" s="14">
        <v>2</v>
      </c>
      <c r="Z332" s="14">
        <v>1</v>
      </c>
      <c r="AA332" s="14">
        <v>0</v>
      </c>
    </row>
    <row r="333" spans="1:27" x14ac:dyDescent="0.15">
      <c r="A333" s="15">
        <v>14070</v>
      </c>
      <c r="B333" s="15" t="s">
        <v>955</v>
      </c>
      <c r="C333" s="14">
        <v>4</v>
      </c>
      <c r="H333" s="16" t="s">
        <v>968</v>
      </c>
      <c r="L333" s="16" t="s">
        <v>195</v>
      </c>
      <c r="P333" s="14">
        <v>999</v>
      </c>
      <c r="R333" s="14" t="e" cm="1">
        <f t="array" aca="1" ref="R333" ca="1">_xlfn.TEXTJOIN(",",TRUE,MID(SUBSTITUTE(SUBSTITUTE(SUBSTITUTE(SUBSTITUTE($Q333,"↑","1"),"↓","2"),"←","3"),"→","4"),ROW(INDIRECT("1:"&amp;LEN($Q333))),1))</f>
        <v>#REF!</v>
      </c>
      <c r="V333" s="14">
        <v>20001</v>
      </c>
      <c r="W333" s="14" t="s">
        <v>135</v>
      </c>
      <c r="Y333" s="14">
        <v>2</v>
      </c>
      <c r="Z333" s="14">
        <v>1</v>
      </c>
      <c r="AA333" s="14">
        <v>0</v>
      </c>
    </row>
    <row r="334" spans="1:27" x14ac:dyDescent="0.15">
      <c r="A334" s="15">
        <v>14071</v>
      </c>
      <c r="B334" s="15" t="s">
        <v>955</v>
      </c>
      <c r="C334" s="14">
        <v>4</v>
      </c>
      <c r="H334" s="16" t="s">
        <v>969</v>
      </c>
      <c r="L334" s="16" t="s">
        <v>195</v>
      </c>
      <c r="P334" s="14">
        <v>999</v>
      </c>
      <c r="R334" s="14" t="e" cm="1">
        <f t="array" aca="1" ref="R334" ca="1">_xlfn.TEXTJOIN(",",TRUE,MID(SUBSTITUTE(SUBSTITUTE(SUBSTITUTE(SUBSTITUTE($Q334,"↑","1"),"↓","2"),"←","3"),"→","4"),ROW(INDIRECT("1:"&amp;LEN($Q334))),1))</f>
        <v>#REF!</v>
      </c>
      <c r="V334" s="14">
        <v>20001</v>
      </c>
      <c r="W334" s="14" t="s">
        <v>135</v>
      </c>
      <c r="Y334" s="14">
        <v>2</v>
      </c>
      <c r="Z334" s="14">
        <v>1</v>
      </c>
      <c r="AA334" s="14">
        <v>0</v>
      </c>
    </row>
    <row r="335" spans="1:27" x14ac:dyDescent="0.15">
      <c r="A335" s="15">
        <v>14072</v>
      </c>
      <c r="B335" s="15" t="s">
        <v>970</v>
      </c>
      <c r="C335" s="14">
        <v>4</v>
      </c>
      <c r="H335" s="16" t="s">
        <v>971</v>
      </c>
      <c r="L335" s="16" t="s">
        <v>972</v>
      </c>
      <c r="R335" s="14" t="e" cm="1">
        <f t="array" aca="1" ref="R335" ca="1">_xlfn.TEXTJOIN(",",TRUE,MID(SUBSTITUTE(SUBSTITUTE(SUBSTITUTE(SUBSTITUTE($Q335,"↑","1"),"↓","2"),"←","3"),"→","4"),ROW(INDIRECT("1:"&amp;LEN($Q335))),1))</f>
        <v>#REF!</v>
      </c>
      <c r="V335" s="14">
        <v>20503</v>
      </c>
      <c r="W335" s="14" t="s">
        <v>482</v>
      </c>
      <c r="Y335" s="14">
        <v>2</v>
      </c>
      <c r="Z335" s="14">
        <v>0</v>
      </c>
      <c r="AA335" s="14">
        <v>1</v>
      </c>
    </row>
    <row r="336" spans="1:27" ht="33" x14ac:dyDescent="0.15">
      <c r="A336" s="15">
        <v>14073</v>
      </c>
      <c r="B336" s="15" t="s">
        <v>973</v>
      </c>
      <c r="C336" s="14">
        <v>4</v>
      </c>
      <c r="H336" s="16" t="s">
        <v>974</v>
      </c>
      <c r="Q336" s="14" t="s">
        <v>975</v>
      </c>
      <c r="R336" s="14" t="str" cm="1">
        <f t="array" aca="1" ref="R336" ca="1">_xlfn.TEXTJOIN(",",TRUE,MID(SUBSTITUTE(SUBSTITUTE(SUBSTITUTE(SUBSTITUTE($Q336,"↑","1"),"↓","2"),"←","3"),"→","4"),ROW(INDIRECT("1:"&amp;LEN($Q336))),1))</f>
        <v>1,1,3,2</v>
      </c>
      <c r="V336" s="14">
        <v>20406</v>
      </c>
      <c r="W336" s="14" t="s">
        <v>828</v>
      </c>
      <c r="Y336" s="14">
        <v>2</v>
      </c>
      <c r="Z336" s="14">
        <v>1</v>
      </c>
      <c r="AA336" s="14">
        <v>1</v>
      </c>
    </row>
    <row r="337" spans="1:27" x14ac:dyDescent="0.15">
      <c r="A337" s="15">
        <v>14074</v>
      </c>
      <c r="C337" s="14">
        <v>4</v>
      </c>
      <c r="G337" s="16" t="s">
        <v>976</v>
      </c>
      <c r="H337" s="16" t="s">
        <v>977</v>
      </c>
      <c r="Q337" s="14" t="s">
        <v>870</v>
      </c>
      <c r="R337" s="14" t="str" cm="1">
        <f t="array" aca="1" ref="R337" ca="1">_xlfn.TEXTJOIN(",",TRUE,MID(SUBSTITUTE(SUBSTITUTE(SUBSTITUTE(SUBSTITUTE($Q337,"↑","1"),"↓","2"),"←","3"),"→","4"),ROW(INDIRECT("1:"&amp;LEN($Q337))),1))</f>
        <v>2,2,2</v>
      </c>
      <c r="V337" s="14">
        <v>20503</v>
      </c>
      <c r="W337" s="14" t="s">
        <v>482</v>
      </c>
      <c r="Y337" s="14">
        <v>2</v>
      </c>
      <c r="Z337" s="14">
        <v>0</v>
      </c>
      <c r="AA337" s="14">
        <v>1</v>
      </c>
    </row>
    <row r="338" spans="1:27" x14ac:dyDescent="0.15">
      <c r="A338" s="15">
        <v>14075</v>
      </c>
      <c r="B338" s="15" t="s">
        <v>978</v>
      </c>
      <c r="C338" s="14">
        <v>4</v>
      </c>
      <c r="H338" s="16" t="s">
        <v>979</v>
      </c>
      <c r="R338" s="14" t="e" cm="1">
        <f t="array" aca="1" ref="R338" ca="1">_xlfn.TEXTJOIN(",",TRUE,MID(SUBSTITUTE(SUBSTITUTE(SUBSTITUTE(SUBSTITUTE($Q338,"↑","1"),"↓","2"),"←","3"),"→","4"),ROW(INDIRECT("1:"&amp;LEN($Q338))),1))</f>
        <v>#REF!</v>
      </c>
      <c r="Y338" s="14">
        <v>2</v>
      </c>
      <c r="Z338" s="14">
        <v>0</v>
      </c>
      <c r="AA338" s="14">
        <v>1</v>
      </c>
    </row>
    <row r="339" spans="1:27" ht="33" x14ac:dyDescent="0.15">
      <c r="A339" s="15">
        <v>14076</v>
      </c>
      <c r="B339" s="23" t="s">
        <v>980</v>
      </c>
      <c r="C339" s="14">
        <v>4</v>
      </c>
      <c r="E339" s="16" t="s">
        <v>851</v>
      </c>
      <c r="H339" s="16" t="s">
        <v>981</v>
      </c>
      <c r="J339" s="16" t="s">
        <v>982</v>
      </c>
      <c r="R339" s="14" t="e" cm="1">
        <f t="array" aca="1" ref="R339" ca="1">_xlfn.TEXTJOIN(",",TRUE,MID(SUBSTITUTE(SUBSTITUTE(SUBSTITUTE(SUBSTITUTE($Q339,"↑","1"),"↓","2"),"←","3"),"→","4"),ROW(INDIRECT("1:"&amp;LEN($Q339))),1))</f>
        <v>#REF!</v>
      </c>
      <c r="V339" s="14">
        <v>20203</v>
      </c>
      <c r="W339" s="14" t="s">
        <v>184</v>
      </c>
      <c r="Y339" s="14">
        <v>2</v>
      </c>
      <c r="Z339" s="14">
        <v>0</v>
      </c>
      <c r="AA339" s="14">
        <v>1</v>
      </c>
    </row>
    <row r="340" spans="1:27" x14ac:dyDescent="0.15">
      <c r="A340" s="15">
        <v>14077</v>
      </c>
      <c r="C340" s="14">
        <v>4</v>
      </c>
      <c r="H340" s="16" t="s">
        <v>983</v>
      </c>
      <c r="R340" s="14" t="e" cm="1">
        <f t="array" aca="1" ref="R340" ca="1">_xlfn.TEXTJOIN(",",TRUE,MID(SUBSTITUTE(SUBSTITUTE(SUBSTITUTE(SUBSTITUTE($Q340,"↑","1"),"↓","2"),"←","3"),"→","4"),ROW(INDIRECT("1:"&amp;LEN($Q340))),1))</f>
        <v>#REF!</v>
      </c>
      <c r="Y340" s="14">
        <v>2</v>
      </c>
      <c r="Z340" s="14">
        <v>0</v>
      </c>
      <c r="AA340" s="14">
        <v>1</v>
      </c>
    </row>
    <row r="341" spans="1:27" x14ac:dyDescent="0.15">
      <c r="A341" s="15">
        <v>14078</v>
      </c>
      <c r="C341" s="14">
        <v>4</v>
      </c>
      <c r="H341" s="16" t="s">
        <v>984</v>
      </c>
      <c r="L341" s="16" t="s">
        <v>99</v>
      </c>
      <c r="R341" s="14" t="e" cm="1">
        <f t="array" aca="1" ref="R341" ca="1">_xlfn.TEXTJOIN(",",TRUE,MID(SUBSTITUTE(SUBSTITUTE(SUBSTITUTE(SUBSTITUTE($Q341,"↑","1"),"↓","2"),"←","3"),"→","4"),ROW(INDIRECT("1:"&amp;LEN($Q341))),1))</f>
        <v>#REF!</v>
      </c>
      <c r="Y341" s="14">
        <v>2</v>
      </c>
      <c r="Z341" s="14">
        <v>0</v>
      </c>
      <c r="AA341" s="14">
        <v>1</v>
      </c>
    </row>
    <row r="342" spans="1:27" ht="33" x14ac:dyDescent="0.15">
      <c r="A342" s="15">
        <v>14079</v>
      </c>
      <c r="B342" s="15" t="s">
        <v>985</v>
      </c>
      <c r="C342" s="14">
        <v>4</v>
      </c>
      <c r="H342" s="16" t="s">
        <v>986</v>
      </c>
      <c r="L342" s="16" t="s">
        <v>987</v>
      </c>
      <c r="R342" s="14" t="e" cm="1">
        <f t="array" aca="1" ref="R342" ca="1">_xlfn.TEXTJOIN(",",TRUE,MID(SUBSTITUTE(SUBSTITUTE(SUBSTITUTE(SUBSTITUTE($Q342,"↑","1"),"↓","2"),"←","3"),"→","4"),ROW(INDIRECT("1:"&amp;LEN($Q342))),1))</f>
        <v>#REF!</v>
      </c>
      <c r="W342" s="14" t="s">
        <v>83</v>
      </c>
      <c r="Y342" s="14">
        <v>1</v>
      </c>
      <c r="Z342" s="14">
        <v>1</v>
      </c>
      <c r="AA342" s="14">
        <v>1</v>
      </c>
    </row>
    <row r="343" spans="1:27" x14ac:dyDescent="0.15">
      <c r="A343" s="15">
        <v>14080</v>
      </c>
      <c r="C343" s="14">
        <v>4</v>
      </c>
      <c r="H343" s="16" t="s">
        <v>988</v>
      </c>
      <c r="R343" s="14" t="e" cm="1">
        <f t="array" aca="1" ref="R343" ca="1">_xlfn.TEXTJOIN(",",TRUE,MID(SUBSTITUTE(SUBSTITUTE(SUBSTITUTE(SUBSTITUTE($Q343,"↑","1"),"↓","2"),"←","3"),"→","4"),ROW(INDIRECT("1:"&amp;LEN($Q343))),1))</f>
        <v>#REF!</v>
      </c>
      <c r="V343" s="14">
        <v>20705</v>
      </c>
      <c r="W343" s="14" t="s">
        <v>989</v>
      </c>
      <c r="Y343" s="14">
        <v>1</v>
      </c>
      <c r="Z343" s="14">
        <v>1</v>
      </c>
      <c r="AA343" s="14">
        <v>1</v>
      </c>
    </row>
    <row r="344" spans="1:27" x14ac:dyDescent="0.15">
      <c r="A344" s="15">
        <v>14081</v>
      </c>
      <c r="C344" s="14">
        <v>4</v>
      </c>
      <c r="H344" s="16" t="s">
        <v>990</v>
      </c>
      <c r="N344" s="16" t="s">
        <v>991</v>
      </c>
      <c r="R344" s="14" t="e" cm="1">
        <f t="array" aca="1" ref="R344" ca="1">_xlfn.TEXTJOIN(",",TRUE,MID(SUBSTITUTE(SUBSTITUTE(SUBSTITUTE(SUBSTITUTE($Q344,"↑","1"),"↓","2"),"←","3"),"→","4"),ROW(INDIRECT("1:"&amp;LEN($Q344))),1))</f>
        <v>#REF!</v>
      </c>
      <c r="V344" s="14">
        <v>20705</v>
      </c>
      <c r="W344" s="14" t="s">
        <v>989</v>
      </c>
      <c r="Y344" s="14">
        <v>1</v>
      </c>
      <c r="Z344" s="14">
        <v>1</v>
      </c>
      <c r="AA344" s="14">
        <v>1</v>
      </c>
    </row>
    <row r="345" spans="1:27" x14ac:dyDescent="0.15">
      <c r="A345" s="15">
        <v>14082</v>
      </c>
      <c r="C345" s="14">
        <v>4</v>
      </c>
      <c r="H345" s="16" t="s">
        <v>992</v>
      </c>
      <c r="N345" s="16" t="s">
        <v>993</v>
      </c>
      <c r="R345" s="14" t="e" cm="1">
        <f t="array" aca="1" ref="R345" ca="1">_xlfn.TEXTJOIN(",",TRUE,MID(SUBSTITUTE(SUBSTITUTE(SUBSTITUTE(SUBSTITUTE($Q345,"↑","1"),"↓","2"),"←","3"),"→","4"),ROW(INDIRECT("1:"&amp;LEN($Q345))),1))</f>
        <v>#REF!</v>
      </c>
      <c r="V345" s="14">
        <v>20705</v>
      </c>
      <c r="W345" s="14" t="s">
        <v>989</v>
      </c>
      <c r="Y345" s="14">
        <v>1</v>
      </c>
      <c r="Z345" s="14">
        <v>1</v>
      </c>
      <c r="AA345" s="14">
        <v>1</v>
      </c>
    </row>
    <row r="346" spans="1:27" x14ac:dyDescent="0.15">
      <c r="A346" s="15">
        <v>14083</v>
      </c>
      <c r="C346" s="14">
        <v>4</v>
      </c>
      <c r="E346" s="16" t="s">
        <v>994</v>
      </c>
      <c r="G346" s="16" t="s">
        <v>248</v>
      </c>
      <c r="H346" s="16" t="s">
        <v>995</v>
      </c>
      <c r="L346" s="16" t="s">
        <v>996</v>
      </c>
      <c r="Q346" s="14" t="s">
        <v>332</v>
      </c>
      <c r="R346" s="14" t="str" cm="1">
        <f t="array" aca="1" ref="R346" ca="1">_xlfn.TEXTJOIN(",",TRUE,MID(SUBSTITUTE(SUBSTITUTE(SUBSTITUTE(SUBSTITUTE($Q346,"↑","1"),"↓","2"),"←","3"),"→","4"),ROW(INDIRECT("1:"&amp;LEN($Q346))),1))</f>
        <v>4,2,4</v>
      </c>
      <c r="U346" s="14">
        <v>20</v>
      </c>
      <c r="Y346" s="14">
        <v>2</v>
      </c>
      <c r="Z346" s="14">
        <v>0</v>
      </c>
      <c r="AA346" s="14">
        <v>1</v>
      </c>
    </row>
    <row r="347" spans="1:27" x14ac:dyDescent="0.15">
      <c r="A347" s="15">
        <v>14084</v>
      </c>
      <c r="B347" s="15" t="s">
        <v>997</v>
      </c>
      <c r="C347" s="14">
        <v>4</v>
      </c>
      <c r="E347" s="16" t="s">
        <v>998</v>
      </c>
      <c r="R347" s="14" t="e" cm="1">
        <f t="array" aca="1" ref="R347" ca="1">_xlfn.TEXTJOIN(",",TRUE,MID(SUBSTITUTE(SUBSTITUTE(SUBSTITUTE(SUBSTITUTE($Q347,"↑","1"),"↓","2"),"←","3"),"→","4"),ROW(INDIRECT("1:"&amp;LEN($Q347))),1))</f>
        <v>#REF!</v>
      </c>
      <c r="AA347" s="14">
        <v>1</v>
      </c>
    </row>
    <row r="348" spans="1:27" ht="33" x14ac:dyDescent="0.15">
      <c r="A348" s="15">
        <v>14085</v>
      </c>
      <c r="B348" s="15" t="s">
        <v>999</v>
      </c>
      <c r="C348" s="14">
        <v>4</v>
      </c>
      <c r="E348" s="16" t="s">
        <v>1000</v>
      </c>
      <c r="H348" s="16" t="s">
        <v>1001</v>
      </c>
      <c r="L348" s="16" t="s">
        <v>1002</v>
      </c>
      <c r="Q348" s="14" t="s">
        <v>92</v>
      </c>
      <c r="R348" s="14" t="str" cm="1">
        <f t="array" aca="1" ref="R348" ca="1">_xlfn.TEXTJOIN(",",TRUE,MID(SUBSTITUTE(SUBSTITUTE(SUBSTITUTE(SUBSTITUTE($Q348,"↑","1"),"↓","2"),"←","3"),"→","4"),ROW(INDIRECT("1:"&amp;LEN($Q348))),1))</f>
        <v>1,1</v>
      </c>
      <c r="V348" s="14">
        <v>20604</v>
      </c>
      <c r="W348" s="14" t="s">
        <v>245</v>
      </c>
      <c r="Y348" s="14">
        <v>2</v>
      </c>
      <c r="Z348" s="14">
        <v>0</v>
      </c>
      <c r="AA348" s="14">
        <v>1</v>
      </c>
    </row>
    <row r="349" spans="1:27" ht="33" x14ac:dyDescent="0.15">
      <c r="A349" s="15">
        <v>14086</v>
      </c>
      <c r="B349" s="15" t="s">
        <v>1003</v>
      </c>
      <c r="C349" s="14">
        <v>4</v>
      </c>
      <c r="E349" s="16" t="s">
        <v>1004</v>
      </c>
      <c r="H349" s="16" t="s">
        <v>1001</v>
      </c>
      <c r="L349" s="16" t="s">
        <v>1005</v>
      </c>
      <c r="Q349" s="14" t="s">
        <v>92</v>
      </c>
      <c r="R349" s="14" t="str" cm="1">
        <f t="array" aca="1" ref="R349" ca="1">_xlfn.TEXTJOIN(",",TRUE,MID(SUBSTITUTE(SUBSTITUTE(SUBSTITUTE(SUBSTITUTE($Q349,"↑","1"),"↓","2"),"←","3"),"→","4"),ROW(INDIRECT("1:"&amp;LEN($Q349))),1))</f>
        <v>1,1</v>
      </c>
      <c r="V349" s="14">
        <v>20604</v>
      </c>
      <c r="W349" s="14" t="s">
        <v>245</v>
      </c>
      <c r="Y349" s="14">
        <v>2</v>
      </c>
      <c r="Z349" s="14">
        <v>0</v>
      </c>
      <c r="AA349" s="14">
        <v>1</v>
      </c>
    </row>
    <row r="350" spans="1:27" x14ac:dyDescent="0.15">
      <c r="A350" s="15">
        <v>14087</v>
      </c>
      <c r="C350" s="14">
        <v>4</v>
      </c>
      <c r="E350" s="16" t="s">
        <v>487</v>
      </c>
      <c r="G350" s="16" t="s">
        <v>1006</v>
      </c>
      <c r="H350" s="16" t="s">
        <v>1007</v>
      </c>
      <c r="L350" s="16" t="s">
        <v>1008</v>
      </c>
      <c r="N350" s="16" t="s">
        <v>1009</v>
      </c>
      <c r="O350" s="14">
        <v>3</v>
      </c>
      <c r="P350" s="14">
        <v>12</v>
      </c>
      <c r="Q350" s="14" t="s">
        <v>946</v>
      </c>
      <c r="R350" s="14" t="str" cm="1">
        <f t="array" aca="1" ref="R350" ca="1">_xlfn.TEXTJOIN(",",TRUE,MID(SUBSTITUTE(SUBSTITUTE(SUBSTITUTE(SUBSTITUTE($Q350,"↑","1"),"↓","2"),"←","3"),"→","4"),ROW(INDIRECT("1:"&amp;LEN($Q350))),1))</f>
        <v>2,3,1,4</v>
      </c>
      <c r="S350" s="14">
        <v>1</v>
      </c>
      <c r="T350" s="14" t="s">
        <v>51</v>
      </c>
      <c r="U350" s="14" t="s">
        <v>51</v>
      </c>
      <c r="Y350" s="14">
        <v>2</v>
      </c>
      <c r="Z350" s="14">
        <v>0</v>
      </c>
      <c r="AA350" s="14">
        <v>1</v>
      </c>
    </row>
    <row r="351" spans="1:27" ht="33" x14ac:dyDescent="0.15">
      <c r="A351" s="15">
        <v>14088</v>
      </c>
      <c r="H351" s="16" t="s">
        <v>1010</v>
      </c>
      <c r="T351" s="14" t="s">
        <v>51</v>
      </c>
      <c r="U351" s="14" t="s">
        <v>51</v>
      </c>
    </row>
    <row r="353" spans="5:5" x14ac:dyDescent="0.15">
      <c r="E353" s="7"/>
    </row>
  </sheetData>
  <phoneticPr fontId="8" type="noConversion"/>
  <pageMargins left="0.7" right="0.7" top="0.75" bottom="0.75" header="0.3" footer="0.3"/>
  <pageSetup paperSize="9" orientation="portrait" horizontalDpi="2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4"/>
  <sheetViews>
    <sheetView workbookViewId="0">
      <selection activeCell="Z61" sqref="Z61"/>
    </sheetView>
  </sheetViews>
  <sheetFormatPr defaultColWidth="9" defaultRowHeight="13.5" x14ac:dyDescent="0.15"/>
  <cols>
    <col min="4" max="4" width="4.625" customWidth="1"/>
    <col min="6" max="6" width="5.125" customWidth="1"/>
    <col min="7" max="7" width="9.375" customWidth="1"/>
    <col min="8" max="8" width="4.625" customWidth="1"/>
    <col min="10" max="10" width="4.125" customWidth="1"/>
    <col min="12" max="12" width="2.875" customWidth="1"/>
    <col min="13" max="13" width="10" customWidth="1"/>
    <col min="14" max="14" width="3.875" customWidth="1"/>
    <col min="16" max="16" width="3.5" customWidth="1"/>
    <col min="18" max="18" width="2.5" customWidth="1"/>
    <col min="20" max="20" width="3.375" customWidth="1"/>
  </cols>
  <sheetData>
    <row r="1" spans="1:20" x14ac:dyDescent="0.15">
      <c r="B1" t="s">
        <v>76</v>
      </c>
      <c r="C1" t="s">
        <v>1011</v>
      </c>
      <c r="E1" t="s">
        <v>1012</v>
      </c>
    </row>
    <row r="2" spans="1:20" x14ac:dyDescent="0.15">
      <c r="A2" t="s">
        <v>1013</v>
      </c>
      <c r="C2" t="s">
        <v>293</v>
      </c>
      <c r="D2">
        <f>COUNTIF(Skill!V:V,20701)</f>
        <v>8</v>
      </c>
      <c r="E2" s="8" t="s">
        <v>1014</v>
      </c>
      <c r="F2">
        <f>COUNTIF(Skill!V:V,20702)</f>
        <v>4</v>
      </c>
      <c r="G2" t="s">
        <v>1015</v>
      </c>
      <c r="H2">
        <f>COUNTIF(Skill!V:V,20402)</f>
        <v>6</v>
      </c>
      <c r="I2" t="s">
        <v>1016</v>
      </c>
      <c r="J2">
        <f>COUNTIF(Skill!V:V,20307)</f>
        <v>4</v>
      </c>
      <c r="K2" t="s">
        <v>989</v>
      </c>
      <c r="L2">
        <f>COUNTIF(Skill!V:V,20705)</f>
        <v>3</v>
      </c>
      <c r="R2" s="13"/>
      <c r="S2" s="13"/>
    </row>
    <row r="3" spans="1:20" x14ac:dyDescent="0.15">
      <c r="A3" t="s">
        <v>1017</v>
      </c>
      <c r="C3" t="s">
        <v>570</v>
      </c>
      <c r="D3">
        <f>COUNTIF(Skill!V:V,20601)</f>
        <v>1</v>
      </c>
      <c r="E3" t="s">
        <v>789</v>
      </c>
      <c r="F3">
        <f>COUNTIF(Skill!V:V,20602)</f>
        <v>3</v>
      </c>
      <c r="G3" t="s">
        <v>891</v>
      </c>
      <c r="H3">
        <f>COUNTIF(Skill!V:V,20603)</f>
        <v>2</v>
      </c>
      <c r="I3" s="11" t="s">
        <v>245</v>
      </c>
      <c r="J3">
        <f>COUNTIF(Skill!V:V,20604)</f>
        <v>8</v>
      </c>
      <c r="R3" s="13"/>
      <c r="S3" s="13"/>
    </row>
    <row r="4" spans="1:20" x14ac:dyDescent="0.15">
      <c r="A4" t="s">
        <v>1018</v>
      </c>
      <c r="C4" t="s">
        <v>471</v>
      </c>
      <c r="D4">
        <f>COUNTIF(Skill!V:V,20501)</f>
        <v>1</v>
      </c>
      <c r="E4" t="s">
        <v>296</v>
      </c>
      <c r="F4">
        <f>COUNTIF(Skill!V:V,20502)</f>
        <v>14</v>
      </c>
      <c r="G4" t="s">
        <v>482</v>
      </c>
      <c r="H4">
        <f>COUNTIF(Skill!V:V,20503)</f>
        <v>5</v>
      </c>
      <c r="I4" s="12" t="s">
        <v>1019</v>
      </c>
      <c r="J4">
        <f>COUNTIF(Skill!V:V,20504)</f>
        <v>2</v>
      </c>
      <c r="K4" t="s">
        <v>346</v>
      </c>
      <c r="L4">
        <f>COUNTIF(Skill!V:V,20505)</f>
        <v>6</v>
      </c>
      <c r="M4" t="s">
        <v>580</v>
      </c>
      <c r="N4">
        <f>COUNTIF(Skill!V:V,20506)</f>
        <v>2</v>
      </c>
      <c r="O4" t="s">
        <v>442</v>
      </c>
      <c r="P4">
        <f>COUNTIF(Skill!V:V,20507)</f>
        <v>21</v>
      </c>
      <c r="Q4" s="11" t="s">
        <v>1020</v>
      </c>
      <c r="R4">
        <f>COUNTIF(Skill!V:V,20508)</f>
        <v>3</v>
      </c>
      <c r="S4" s="13"/>
    </row>
    <row r="5" spans="1:20" x14ac:dyDescent="0.15">
      <c r="A5" t="s">
        <v>1021</v>
      </c>
      <c r="C5" t="s">
        <v>227</v>
      </c>
      <c r="D5">
        <f>COUNTIF(Skill!V:V,20401)</f>
        <v>9</v>
      </c>
      <c r="E5" s="9"/>
      <c r="F5" s="9"/>
      <c r="G5" t="s">
        <v>192</v>
      </c>
      <c r="H5">
        <f>COUNTIF(Skill!V:V,20403)</f>
        <v>2</v>
      </c>
      <c r="I5" t="s">
        <v>67</v>
      </c>
      <c r="J5">
        <f>COUNTIF(Skill!V:V,20404)</f>
        <v>6</v>
      </c>
      <c r="K5" t="s">
        <v>475</v>
      </c>
      <c r="L5">
        <f>COUNTIF(Skill!V:V,20405)</f>
        <v>2</v>
      </c>
      <c r="M5" t="s">
        <v>828</v>
      </c>
      <c r="N5">
        <f>COUNTIF(Skill!V:V,20406)</f>
        <v>3</v>
      </c>
      <c r="O5" t="s">
        <v>779</v>
      </c>
      <c r="P5">
        <f>COUNTIF(Skill!V:V,20407)</f>
        <v>3</v>
      </c>
      <c r="Q5" t="s">
        <v>1022</v>
      </c>
      <c r="R5">
        <f>COUNTIF(Skill!V:V,20408)</f>
        <v>0</v>
      </c>
      <c r="S5" t="s">
        <v>494</v>
      </c>
      <c r="T5">
        <f>COUNTIF(Skill!V:V,20409)</f>
        <v>2</v>
      </c>
    </row>
    <row r="6" spans="1:20" x14ac:dyDescent="0.15">
      <c r="A6" t="s">
        <v>1023</v>
      </c>
      <c r="C6" t="s">
        <v>57</v>
      </c>
      <c r="D6">
        <f>COUNTIF(Skill!V:V,20301)</f>
        <v>11</v>
      </c>
      <c r="E6" t="s">
        <v>383</v>
      </c>
      <c r="F6">
        <f>COUNTIF(Skill!V:V,20302)</f>
        <v>8</v>
      </c>
      <c r="G6" t="s">
        <v>83</v>
      </c>
      <c r="H6">
        <f>COUNTIF(Skill!V:V,20303)</f>
        <v>8</v>
      </c>
      <c r="I6" t="s">
        <v>388</v>
      </c>
      <c r="J6">
        <f>COUNTIF(Skill!V:V,20304)</f>
        <v>4</v>
      </c>
      <c r="K6" t="s">
        <v>89</v>
      </c>
      <c r="L6">
        <f>COUNTIF(Skill!V:V,20305)</f>
        <v>7</v>
      </c>
      <c r="M6" t="s">
        <v>1024</v>
      </c>
      <c r="N6">
        <f>COUNTIF(Skill!V:V,20306)</f>
        <v>7</v>
      </c>
      <c r="O6" s="9"/>
      <c r="P6" s="9"/>
      <c r="R6" s="13"/>
      <c r="S6" s="13"/>
    </row>
    <row r="7" spans="1:20" x14ac:dyDescent="0.15">
      <c r="A7" t="s">
        <v>1025</v>
      </c>
      <c r="C7" s="8" t="s">
        <v>61</v>
      </c>
      <c r="D7">
        <f>COUNTIF(Skill!V:V,20201)</f>
        <v>18</v>
      </c>
      <c r="E7" t="s">
        <v>52</v>
      </c>
      <c r="F7">
        <f>COUNTIF(Skill!V:V,20202)</f>
        <v>12</v>
      </c>
      <c r="G7" t="s">
        <v>1026</v>
      </c>
      <c r="H7">
        <f>COUNTIF(Skill!V:V,20203)</f>
        <v>8</v>
      </c>
      <c r="I7" t="s">
        <v>231</v>
      </c>
      <c r="J7">
        <f>COUNTIF(Skill!V:V,20204)</f>
        <v>5</v>
      </c>
      <c r="K7" t="s">
        <v>1027</v>
      </c>
      <c r="L7">
        <f>COUNTIF(Skill!V:V,20205)</f>
        <v>11</v>
      </c>
      <c r="R7" s="13"/>
      <c r="S7" s="13"/>
    </row>
    <row r="8" spans="1:20" x14ac:dyDescent="0.15">
      <c r="A8" t="s">
        <v>1028</v>
      </c>
      <c r="C8" s="8" t="s">
        <v>71</v>
      </c>
      <c r="D8">
        <f>COUNTIF(Skill!V:V,20101)</f>
        <v>18</v>
      </c>
      <c r="R8" s="13"/>
      <c r="S8" s="13"/>
    </row>
    <row r="9" spans="1:20" x14ac:dyDescent="0.15">
      <c r="C9" t="s">
        <v>135</v>
      </c>
      <c r="D9">
        <f>COUNTIF(Skill!V:V,20001)</f>
        <v>82</v>
      </c>
    </row>
    <row r="13" spans="1:20" x14ac:dyDescent="0.15">
      <c r="G13" t="s">
        <v>1029</v>
      </c>
      <c r="H13" s="25" t="s">
        <v>1030</v>
      </c>
      <c r="I13" s="25"/>
      <c r="J13" s="25" t="s">
        <v>376</v>
      </c>
      <c r="K13" s="25"/>
      <c r="L13" s="25" t="s">
        <v>1031</v>
      </c>
      <c r="M13" s="25"/>
      <c r="Q13" t="s">
        <v>1032</v>
      </c>
      <c r="R13" t="s">
        <v>1033</v>
      </c>
    </row>
    <row r="14" spans="1:20" x14ac:dyDescent="0.15">
      <c r="G14" t="s">
        <v>1017</v>
      </c>
      <c r="H14" s="25">
        <v>125</v>
      </c>
      <c r="I14" s="25"/>
      <c r="J14" s="25">
        <v>145</v>
      </c>
      <c r="K14" s="25"/>
      <c r="L14" s="25">
        <v>165</v>
      </c>
      <c r="M14" s="25"/>
      <c r="Q14" t="s">
        <v>1034</v>
      </c>
      <c r="R14" t="s">
        <v>230</v>
      </c>
    </row>
    <row r="15" spans="1:20" x14ac:dyDescent="0.15">
      <c r="G15" t="s">
        <v>1018</v>
      </c>
      <c r="H15" s="25">
        <v>120</v>
      </c>
      <c r="I15" s="25"/>
      <c r="J15" s="25">
        <v>140</v>
      </c>
      <c r="K15" s="25"/>
      <c r="L15" s="25">
        <v>160</v>
      </c>
      <c r="M15" s="25"/>
      <c r="Q15" t="s">
        <v>1035</v>
      </c>
      <c r="R15" t="s">
        <v>559</v>
      </c>
    </row>
    <row r="16" spans="1:20" x14ac:dyDescent="0.15">
      <c r="G16" t="s">
        <v>1021</v>
      </c>
      <c r="H16" s="25">
        <v>115</v>
      </c>
      <c r="I16" s="25"/>
      <c r="J16" s="25">
        <v>135</v>
      </c>
      <c r="K16" s="25"/>
      <c r="L16" s="25">
        <v>155</v>
      </c>
      <c r="M16" s="25"/>
      <c r="Q16" t="s">
        <v>1036</v>
      </c>
      <c r="R16" t="s">
        <v>489</v>
      </c>
    </row>
    <row r="17" spans="7:15" x14ac:dyDescent="0.15">
      <c r="G17" t="s">
        <v>1023</v>
      </c>
      <c r="H17" s="25">
        <v>110</v>
      </c>
      <c r="I17" s="25"/>
      <c r="J17" s="25">
        <v>130</v>
      </c>
      <c r="K17" s="25"/>
      <c r="L17" s="25">
        <v>150</v>
      </c>
      <c r="M17" s="25"/>
    </row>
    <row r="18" spans="7:15" x14ac:dyDescent="0.15">
      <c r="G18" t="s">
        <v>1025</v>
      </c>
      <c r="H18" s="25">
        <v>105</v>
      </c>
      <c r="I18" s="25"/>
      <c r="J18" s="25">
        <v>125</v>
      </c>
      <c r="K18" s="25"/>
      <c r="L18" s="25">
        <v>145</v>
      </c>
      <c r="M18" s="25"/>
    </row>
    <row r="19" spans="7:15" x14ac:dyDescent="0.15">
      <c r="G19" t="s">
        <v>1028</v>
      </c>
      <c r="H19" s="25">
        <v>100</v>
      </c>
      <c r="I19" s="25"/>
      <c r="J19" s="25">
        <v>120</v>
      </c>
      <c r="K19" s="25"/>
      <c r="L19" s="25">
        <v>140</v>
      </c>
      <c r="M19" s="25"/>
      <c r="O19" s="10"/>
    </row>
    <row r="20" spans="7:15" x14ac:dyDescent="0.15">
      <c r="O20" s="10"/>
    </row>
    <row r="21" spans="7:15" x14ac:dyDescent="0.15">
      <c r="G21" t="s">
        <v>1037</v>
      </c>
      <c r="H21" s="25" t="s">
        <v>1038</v>
      </c>
      <c r="I21" s="25"/>
      <c r="J21" s="25" t="s">
        <v>1039</v>
      </c>
      <c r="K21" s="25"/>
      <c r="L21" s="25" t="s">
        <v>1040</v>
      </c>
      <c r="M21" s="26"/>
      <c r="O21" s="10"/>
    </row>
    <row r="22" spans="7:15" x14ac:dyDescent="0.15">
      <c r="O22" s="10"/>
    </row>
    <row r="23" spans="7:15" x14ac:dyDescent="0.15">
      <c r="O23" s="10"/>
    </row>
    <row r="24" spans="7:15" x14ac:dyDescent="0.15">
      <c r="O24" s="10"/>
    </row>
  </sheetData>
  <mergeCells count="24">
    <mergeCell ref="H13:I13"/>
    <mergeCell ref="J13:K13"/>
    <mergeCell ref="L13:M13"/>
    <mergeCell ref="H14:I14"/>
    <mergeCell ref="J14:K14"/>
    <mergeCell ref="L14:M14"/>
    <mergeCell ref="H15:I15"/>
    <mergeCell ref="J15:K15"/>
    <mergeCell ref="L15:M15"/>
    <mergeCell ref="H16:I16"/>
    <mergeCell ref="J16:K16"/>
    <mergeCell ref="L16:M16"/>
    <mergeCell ref="H17:I17"/>
    <mergeCell ref="J17:K17"/>
    <mergeCell ref="L17:M17"/>
    <mergeCell ref="H18:I18"/>
    <mergeCell ref="J18:K18"/>
    <mergeCell ref="L18:M18"/>
    <mergeCell ref="H19:I19"/>
    <mergeCell ref="J19:K19"/>
    <mergeCell ref="L19:M19"/>
    <mergeCell ref="H21:I21"/>
    <mergeCell ref="J21:K21"/>
    <mergeCell ref="L21:M21"/>
  </mergeCells>
  <phoneticPr fontId="8" type="noConversion"/>
  <pageMargins left="0.7" right="0.7" top="0.75" bottom="0.75" header="0.3" footer="0.3"/>
  <pageSetup paperSize="9" orientation="portrait" horizontalDpi="2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P24"/>
  <sheetViews>
    <sheetView zoomScale="70" zoomScaleNormal="70" workbookViewId="0">
      <selection activeCell="Z61" sqref="Z61"/>
    </sheetView>
  </sheetViews>
  <sheetFormatPr defaultColWidth="8.875" defaultRowHeight="13.5" x14ac:dyDescent="0.15"/>
  <cols>
    <col min="2" max="2" width="26.5" customWidth="1"/>
    <col min="5" max="5" width="30.5" customWidth="1"/>
    <col min="6" max="6" width="9.625" customWidth="1"/>
    <col min="7" max="7" width="33.625" customWidth="1"/>
    <col min="9" max="9" width="17.75" customWidth="1"/>
    <col min="11" max="11" width="22.875" customWidth="1"/>
  </cols>
  <sheetData>
    <row r="3" spans="1:16" x14ac:dyDescent="0.15">
      <c r="B3" t="s">
        <v>1041</v>
      </c>
      <c r="C3" t="s">
        <v>1042</v>
      </c>
      <c r="D3" t="s">
        <v>1043</v>
      </c>
      <c r="H3" t="s">
        <v>1025</v>
      </c>
      <c r="I3" t="s">
        <v>1023</v>
      </c>
      <c r="J3" t="s">
        <v>1021</v>
      </c>
      <c r="K3" t="s">
        <v>1018</v>
      </c>
      <c r="L3" t="s">
        <v>1017</v>
      </c>
      <c r="M3" t="s">
        <v>1013</v>
      </c>
    </row>
    <row r="4" spans="1:16" x14ac:dyDescent="0.15">
      <c r="A4">
        <v>1</v>
      </c>
      <c r="B4" t="s">
        <v>1044</v>
      </c>
      <c r="C4" t="s">
        <v>1045</v>
      </c>
      <c r="D4" t="s">
        <v>1046</v>
      </c>
    </row>
    <row r="5" spans="1:16" x14ac:dyDescent="0.15">
      <c r="A5">
        <v>2</v>
      </c>
      <c r="B5" t="s">
        <v>1047</v>
      </c>
      <c r="C5" t="s">
        <v>376</v>
      </c>
      <c r="D5" t="s">
        <v>1048</v>
      </c>
    </row>
    <row r="6" spans="1:16" x14ac:dyDescent="0.15">
      <c r="A6">
        <v>3</v>
      </c>
      <c r="B6" t="s">
        <v>1049</v>
      </c>
      <c r="C6" t="s">
        <v>376</v>
      </c>
      <c r="D6" t="s">
        <v>1050</v>
      </c>
    </row>
    <row r="7" spans="1:16" x14ac:dyDescent="0.15">
      <c r="A7">
        <v>4</v>
      </c>
      <c r="B7" t="s">
        <v>1051</v>
      </c>
      <c r="C7" t="s">
        <v>1045</v>
      </c>
      <c r="D7" t="s">
        <v>1052</v>
      </c>
    </row>
    <row r="8" spans="1:16" x14ac:dyDescent="0.15">
      <c r="A8">
        <v>5</v>
      </c>
      <c r="B8" t="s">
        <v>1053</v>
      </c>
      <c r="C8" t="s">
        <v>1045</v>
      </c>
      <c r="D8" t="s">
        <v>1054</v>
      </c>
    </row>
    <row r="9" spans="1:16" x14ac:dyDescent="0.15">
      <c r="A9">
        <v>6</v>
      </c>
      <c r="B9" t="s">
        <v>1055</v>
      </c>
      <c r="C9" t="s">
        <v>1045</v>
      </c>
      <c r="D9" t="s">
        <v>1056</v>
      </c>
    </row>
    <row r="10" spans="1:16" x14ac:dyDescent="0.15">
      <c r="A10">
        <v>7</v>
      </c>
      <c r="B10" t="s">
        <v>1057</v>
      </c>
      <c r="C10" t="s">
        <v>1045</v>
      </c>
      <c r="D10" t="s">
        <v>1058</v>
      </c>
    </row>
    <row r="14" spans="1:16" x14ac:dyDescent="0.15">
      <c r="E14" s="6"/>
      <c r="F14" s="6"/>
      <c r="J14" s="6"/>
      <c r="K14" s="6"/>
      <c r="L14" s="6"/>
      <c r="P14" s="7"/>
    </row>
    <row r="15" spans="1:16" x14ac:dyDescent="0.15">
      <c r="E15" s="6"/>
      <c r="F15" s="6"/>
      <c r="J15" s="6"/>
      <c r="K15" s="6"/>
      <c r="L15" s="6"/>
      <c r="P15" s="7"/>
    </row>
    <row r="16" spans="1:16" x14ac:dyDescent="0.15">
      <c r="F16" t="s">
        <v>1059</v>
      </c>
      <c r="G16" s="6"/>
      <c r="H16" s="6"/>
      <c r="I16" s="6"/>
      <c r="J16" s="6"/>
      <c r="L16" s="6"/>
      <c r="P16" s="7"/>
    </row>
    <row r="17" spans="5:16" x14ac:dyDescent="0.15">
      <c r="E17" s="6"/>
      <c r="F17" t="s">
        <v>1060</v>
      </c>
      <c r="G17" s="6"/>
      <c r="J17" s="6"/>
      <c r="K17" s="6"/>
      <c r="L17" s="6"/>
      <c r="P17" s="7"/>
    </row>
    <row r="18" spans="5:16" x14ac:dyDescent="0.15">
      <c r="E18" s="6"/>
      <c r="F18" t="s">
        <v>1061</v>
      </c>
      <c r="G18" s="6"/>
      <c r="J18" s="6"/>
      <c r="K18" s="6"/>
      <c r="L18" s="6"/>
      <c r="P18" s="7"/>
    </row>
    <row r="19" spans="5:16" x14ac:dyDescent="0.15">
      <c r="E19" s="6"/>
      <c r="F19" s="6"/>
      <c r="G19" s="6"/>
      <c r="H19" s="6"/>
      <c r="I19" s="6"/>
      <c r="J19" s="6"/>
      <c r="K19" s="6"/>
      <c r="L19" s="6"/>
      <c r="P19" s="7"/>
    </row>
    <row r="20" spans="5:16" x14ac:dyDescent="0.15">
      <c r="E20" s="6"/>
      <c r="F20" s="6"/>
      <c r="H20" s="6"/>
      <c r="I20" s="6"/>
      <c r="J20" s="6"/>
      <c r="K20" s="6"/>
      <c r="L20" s="6"/>
      <c r="P20" s="7"/>
    </row>
    <row r="21" spans="5:16" x14ac:dyDescent="0.15">
      <c r="E21" s="6"/>
      <c r="F21" s="6"/>
      <c r="G21" s="6"/>
      <c r="H21" s="6"/>
      <c r="I21" s="6"/>
      <c r="J21" s="6"/>
      <c r="K21" s="6"/>
      <c r="L21" s="6"/>
      <c r="P21" s="7"/>
    </row>
    <row r="22" spans="5:16" x14ac:dyDescent="0.15">
      <c r="E22" s="6"/>
      <c r="F22" s="6"/>
      <c r="G22" s="6"/>
      <c r="H22" s="6"/>
      <c r="I22" s="6"/>
      <c r="J22" s="6"/>
      <c r="K22" s="6"/>
      <c r="L22" s="6"/>
      <c r="P22" s="7"/>
    </row>
    <row r="23" spans="5:16" x14ac:dyDescent="0.15">
      <c r="E23" s="6"/>
      <c r="F23" s="6"/>
      <c r="G23" s="6"/>
      <c r="H23" s="6"/>
      <c r="I23" s="6"/>
      <c r="J23" s="6"/>
      <c r="K23" s="6"/>
      <c r="L23" s="6"/>
      <c r="P23" s="7"/>
    </row>
    <row r="24" spans="5:16" x14ac:dyDescent="0.15">
      <c r="E24" s="6"/>
      <c r="F24" s="6"/>
      <c r="G24" s="6"/>
      <c r="H24" s="6"/>
      <c r="I24" s="6"/>
      <c r="J24" s="6"/>
      <c r="K24" s="6"/>
      <c r="L24" s="6"/>
      <c r="P24" s="7"/>
    </row>
  </sheetData>
  <phoneticPr fontId="8" type="noConversion"/>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0"/>
  <sheetViews>
    <sheetView topLeftCell="B10" zoomScale="75" zoomScaleNormal="75" workbookViewId="0">
      <selection activeCell="Z61" sqref="Z61"/>
    </sheetView>
  </sheetViews>
  <sheetFormatPr defaultColWidth="8.875" defaultRowHeight="16.5" x14ac:dyDescent="0.15"/>
  <cols>
    <col min="1" max="1" width="8.875" style="1" hidden="1" customWidth="1"/>
    <col min="2" max="3" width="8.875" style="1"/>
    <col min="4" max="4" width="8.875" style="1" hidden="1" customWidth="1"/>
    <col min="5" max="5" width="64.5" style="1" customWidth="1"/>
    <col min="6" max="6" width="8.875" style="1" hidden="1" customWidth="1"/>
    <col min="7" max="7" width="71.625" style="1" customWidth="1"/>
    <col min="8" max="8" width="17.875" style="1" hidden="1" customWidth="1"/>
    <col min="9" max="9" width="16.875" style="1" customWidth="1"/>
    <col min="10" max="10" width="8.875" style="1" hidden="1" customWidth="1"/>
    <col min="11" max="11" width="16.75" style="1" customWidth="1"/>
    <col min="12" max="12" width="14.625" style="1" hidden="1" customWidth="1"/>
    <col min="13" max="13" width="17.625" style="1" customWidth="1"/>
    <col min="14" max="20" width="8.875" style="1"/>
    <col min="21" max="28" width="8.875" style="1" hidden="1" customWidth="1"/>
    <col min="29" max="16384" width="8.875" style="1"/>
  </cols>
  <sheetData>
    <row r="1" spans="1:28" ht="15.95" customHeight="1" x14ac:dyDescent="0.15">
      <c r="A1" s="2" t="s">
        <v>0</v>
      </c>
      <c r="B1" s="2"/>
      <c r="C1" s="2" t="s">
        <v>1</v>
      </c>
      <c r="D1" s="3" t="s">
        <v>2</v>
      </c>
      <c r="F1" s="2" t="s">
        <v>3</v>
      </c>
      <c r="G1" s="3"/>
      <c r="H1" s="3" t="s">
        <v>4</v>
      </c>
      <c r="I1" s="3"/>
      <c r="J1" s="3" t="s">
        <v>5</v>
      </c>
      <c r="L1" s="4" t="s">
        <v>6</v>
      </c>
      <c r="N1" s="2" t="s">
        <v>7</v>
      </c>
      <c r="O1" s="2" t="s">
        <v>8</v>
      </c>
      <c r="P1" s="2"/>
      <c r="Q1" s="5" t="s">
        <v>9</v>
      </c>
      <c r="R1" s="2" t="s">
        <v>10</v>
      </c>
      <c r="S1" s="2" t="s">
        <v>11</v>
      </c>
      <c r="T1" s="3" t="s">
        <v>12</v>
      </c>
      <c r="U1" s="2" t="s">
        <v>13</v>
      </c>
      <c r="V1" s="2"/>
      <c r="W1" s="3" t="s">
        <v>14</v>
      </c>
      <c r="X1" s="2" t="s">
        <v>1062</v>
      </c>
      <c r="Y1" s="3" t="s">
        <v>16</v>
      </c>
      <c r="Z1" s="2" t="s">
        <v>17</v>
      </c>
      <c r="AA1" s="3"/>
      <c r="AB1" s="2"/>
    </row>
    <row r="2" spans="1:28" x14ac:dyDescent="0.15">
      <c r="A2" s="2" t="s">
        <v>19</v>
      </c>
      <c r="B2" s="2" t="s">
        <v>20</v>
      </c>
      <c r="C2" s="2" t="s">
        <v>21</v>
      </c>
      <c r="D2" s="4" t="s">
        <v>22</v>
      </c>
      <c r="E2" s="3" t="s">
        <v>1063</v>
      </c>
      <c r="F2" s="3" t="s">
        <v>24</v>
      </c>
      <c r="G2" s="3" t="s">
        <v>1064</v>
      </c>
      <c r="H2" s="3" t="s">
        <v>27</v>
      </c>
      <c r="I2" s="3" t="s">
        <v>1065</v>
      </c>
      <c r="J2" s="3" t="s">
        <v>29</v>
      </c>
      <c r="K2" s="3" t="s">
        <v>1066</v>
      </c>
      <c r="L2" s="3" t="s">
        <v>31</v>
      </c>
      <c r="M2" s="3" t="s">
        <v>32</v>
      </c>
      <c r="N2" s="2" t="s">
        <v>33</v>
      </c>
      <c r="O2" s="2"/>
      <c r="P2" s="2" t="s">
        <v>34</v>
      </c>
      <c r="Q2" s="5" t="s">
        <v>35</v>
      </c>
      <c r="R2" s="2" t="s">
        <v>36</v>
      </c>
      <c r="S2" s="2" t="s">
        <v>37</v>
      </c>
      <c r="T2" s="2" t="s">
        <v>38</v>
      </c>
      <c r="U2" s="2" t="s">
        <v>39</v>
      </c>
      <c r="V2" s="2" t="s">
        <v>40</v>
      </c>
      <c r="W2" s="3"/>
      <c r="X2" s="2"/>
      <c r="Y2" s="3" t="s">
        <v>41</v>
      </c>
      <c r="Z2" s="2" t="s">
        <v>42</v>
      </c>
      <c r="AA2" s="3"/>
      <c r="AB2" s="2"/>
    </row>
    <row r="3" spans="1:28" x14ac:dyDescent="0.15">
      <c r="A3" s="2" t="s">
        <v>43</v>
      </c>
      <c r="B3" s="2"/>
      <c r="C3" s="2" t="s">
        <v>43</v>
      </c>
      <c r="D3" s="3" t="s">
        <v>44</v>
      </c>
      <c r="E3" s="2"/>
      <c r="F3" s="3" t="s">
        <v>44</v>
      </c>
      <c r="G3" s="2"/>
      <c r="H3" s="3" t="s">
        <v>44</v>
      </c>
      <c r="I3" s="2"/>
      <c r="J3" s="3" t="s">
        <v>44</v>
      </c>
      <c r="K3" s="3"/>
      <c r="L3" s="3" t="s">
        <v>44</v>
      </c>
      <c r="M3" s="3"/>
      <c r="N3" s="2" t="s">
        <v>43</v>
      </c>
      <c r="O3" s="2" t="s">
        <v>43</v>
      </c>
      <c r="P3" s="2"/>
      <c r="Q3" s="5" t="s">
        <v>44</v>
      </c>
      <c r="R3" s="2" t="s">
        <v>43</v>
      </c>
      <c r="S3" s="2" t="s">
        <v>43</v>
      </c>
      <c r="T3" s="2" t="s">
        <v>43</v>
      </c>
      <c r="U3" s="2" t="s">
        <v>44</v>
      </c>
      <c r="V3" s="2"/>
      <c r="W3" s="3"/>
      <c r="X3" s="2"/>
      <c r="Y3" s="3"/>
      <c r="Z3" s="2"/>
      <c r="AA3" s="3"/>
      <c r="AB3" s="2"/>
    </row>
    <row r="27" spans="2:3" x14ac:dyDescent="0.15">
      <c r="B27" s="1" t="s">
        <v>559</v>
      </c>
      <c r="C27" s="1" cm="1">
        <f t="array" ref="C27">SUMPRODUCT(LEN(P:P)-LEN(SUBSTITUTE(P:P,"↑","")))</f>
        <v>0</v>
      </c>
    </row>
    <row r="28" spans="2:3" x14ac:dyDescent="0.15">
      <c r="B28" s="1" t="s">
        <v>230</v>
      </c>
      <c r="C28" s="1" cm="1">
        <f t="array" ref="C28">SUMPRODUCT(LEN(P:P)-LEN(SUBSTITUTE(P:P,"↓","")))</f>
        <v>0</v>
      </c>
    </row>
    <row r="29" spans="2:3" x14ac:dyDescent="0.15">
      <c r="B29" s="1" t="s">
        <v>110</v>
      </c>
      <c r="C29" s="1" cm="1">
        <f t="array" ref="C29">SUMPRODUCT(LEN(P:P)-LEN(SUBSTITUTE(P:P,"←","")))</f>
        <v>0</v>
      </c>
    </row>
    <row r="30" spans="2:3" x14ac:dyDescent="0.15">
      <c r="B30" s="1" t="s">
        <v>489</v>
      </c>
      <c r="C30" s="1" cm="1">
        <f t="array" ref="C30">SUMPRODUCT(LEN(P:P)-LEN(SUBSTITUTE(P:P,"→","")))</f>
        <v>0</v>
      </c>
    </row>
  </sheetData>
  <phoneticPr fontId="8" type="noConversion"/>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Skill</vt:lpstr>
      <vt:lpstr>派系强度阶梯</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2006-09-13T11:21:00Z</dcterms:created>
  <dcterms:modified xsi:type="dcterms:W3CDTF">2025-11-11T15:22:07Z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72E1F25E41D648F6B0F1A280B7FF3F9F_12</vt:lpwstr>
  </property>
  <property fmtid="{D5CDD505-2E9C-101B-9397-08002B2CF9AE}" pid="3" name="KSOProductBuildVer">
    <vt:lpwstr>2052-12.1.0.22529</vt:lpwstr>
  </property>
</Properties>
</file>