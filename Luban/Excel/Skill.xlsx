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B654226D-B7E9-4EB9-8B27-229698E5D76C}" xr6:coauthVersionLast="47" xr6:coauthVersionMax="47" xr10:uidLastSave="{00000000-0000-0000-0000-000000000000}"/>
  <bookViews>
    <workbookView xWindow="-105" yWindow="0" windowWidth="19410" windowHeight="20985"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H3" i="2"/>
  <c r="F3" i="2"/>
  <c r="D3" i="2"/>
  <c r="L2" i="2"/>
  <c r="J2" i="2"/>
  <c r="H2" i="2"/>
  <c r="F2" i="2"/>
  <c r="D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G2" authorId="1" shapeId="0" xr:uid="{00000000-0006-0000-0000-000003000000}">
      <text>
        <r>
          <rPr>
            <b/>
            <sz val="9"/>
            <rFont val="宋体"/>
            <family val="3"/>
            <charset val="134"/>
          </rPr>
          <t>think:</t>
        </r>
        <r>
          <rPr>
            <sz val="9"/>
            <rFont val="宋体"/>
            <family val="3"/>
            <charset val="134"/>
          </rPr>
          <t xml:space="preserve">
无前缀</t>
        </r>
      </text>
    </comment>
    <comment ref="I2" authorId="1" shapeId="0" xr:uid="{00000000-0006-0000-0000-000004000000}">
      <text>
        <r>
          <rPr>
            <b/>
            <sz val="9"/>
            <rFont val="宋体"/>
            <family val="3"/>
            <charset val="134"/>
          </rPr>
          <t>think:</t>
        </r>
        <r>
          <rPr>
            <sz val="9"/>
            <rFont val="宋体"/>
            <family val="3"/>
            <charset val="134"/>
          </rPr>
          <t xml:space="preserve">
前缀：交锋时</t>
        </r>
      </text>
    </comment>
    <comment ref="N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<sst xmlns="http://schemas.openxmlformats.org/spreadsheetml/2006/main" count="1874" uniqueCount="1111">
  <si>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</si>
  <si>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</si>
  <si>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</si>
  <si>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</si>
  <si>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</si>
  <si>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</si>
  <si>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</si>
  <si>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</si>
  <si>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</si>
  <si>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</si>
  <si>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</si>
  <si>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</si>
  <si>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</si>
  <si>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</si>
  <si>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</si>
  <si>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</si>
  <si>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</si>
  <si>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</si>
  <si>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</si>
  <si>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</si>
  <si>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</si>
  <si>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</si>
  <si>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</si>
  <si>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</si>
  <si>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</si>
  <si>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</si>
  <si>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</si>
  <si>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</si>
  <si>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</si>
  <si>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</si>
  <si>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</si>
  <si>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</si>
  <si>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</si>
  <si>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</si>
  <si>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</si>
  <si>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</si>
  <si>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</si>
  <si>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</si>
  <si>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</si>
  <si>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</si>
  <si>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</si>
  <si>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</si>
  <si>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</si>
  <si>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</si>
  <si>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</si>
  <si>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行动期间破与防翻倍，本次行动不会被破招且行动的前2息内即将受到攻击将立即执行本次行动</t>
  </si>
  <si>
    <t>若与杀式交锋则敌手因招式效果获得的炁-100</t>
  </si>
  <si>
    <t>获得1个随机的键</t>
  </si>
  <si>
    <t>↓↓</t>
  </si>
  <si>
    <t>2,2</t>
  </si>
  <si>
    <t>市井拳脚</t>
  </si>
  <si>
    <t>起势</t>
  </si>
  <si>
    <t>获得3个随机的键</t>
  </si>
  <si>
    <t>补充随机的键到达持有上限</t>
  </si>
  <si>
    <t>←←</t>
  </si>
  <si>
    <t>3,3</t>
  </si>
  <si>
    <t>三流散功</t>
  </si>
  <si>
    <t>借力</t>
  </si>
  <si>
    <t>行动期间破与防翻倍，本次行动不会被破招</t>
  </si>
  <si>
    <t>↓←</t>
  </si>
  <si>
    <t>2,4</t>
  </si>
  <si>
    <t>常功</t>
  </si>
  <si>
    <t>行动期间受到直接伤害时恢复伤害量30%的体，本次行动不会被破招</t>
  </si>
  <si>
    <t>↓↓↑</t>
  </si>
  <si>
    <t>业生寺</t>
  </si>
  <si>
    <t>行动期间破与防翻倍，本次行动不会被破招且持续到下个回合开始或下一次行动</t>
  </si>
  <si>
    <t>↓↓←</t>
  </si>
  <si>
    <t>2,2,3</t>
  </si>
  <si>
    <t>基本功</t>
  </si>
  <si>
    <t>炁拶</t>
  </si>
  <si>
    <t>↑→↓</t>
  </si>
  <si>
    <t>本次行动加快2息</t>
  </si>
  <si>
    <t>↓←←↓</t>
  </si>
  <si>
    <t>羽楼</t>
  </si>
  <si>
    <t>本次行动加快1息</t>
  </si>
  <si>
    <t>↓↓→↑</t>
  </si>
  <si>
    <t>忱武堂</t>
  </si>
  <si>
    <t>↑↑</t>
  </si>
  <si>
    <t>本次行动延迟2息</t>
  </si>
  <si>
    <t>↑↑←</t>
  </si>
  <si>
    <t>刚炁+50</t>
  </si>
  <si>
    <t>↑↑→</t>
  </si>
  <si>
    <t>↑→→↓</t>
  </si>
  <si>
    <t>血霞秘功</t>
  </si>
  <si>
    <t>选择消耗品使用</t>
  </si>
  <si>
    <t>消耗物品产生对应效果</t>
  </si>
  <si>
    <t>←</t>
  </si>
  <si>
    <t>获得6个不同的键，获得2层心眼</t>
  </si>
  <si>
    <t>←↑←</t>
  </si>
  <si>
    <t>↑←↑</t>
  </si>
  <si>
    <t>↑↓</t>
  </si>
  <si>
    <t>↓←→↑</t>
  </si>
  <si>
    <t>生生不息</t>
  </si>
  <si>
    <t>本次行动不会被未带有←类留劲状态的敌手破招</t>
  </si>
  <si>
    <t>800002|800003|800004|800005|800006</t>
  </si>
  <si>
    <t>↑↑→↓</t>
  </si>
  <si>
    <t>1,1,4,2</t>
  </si>
  <si>
    <t>无</t>
  </si>
  <si>
    <t>玄炁上限+55%</t>
  </si>
  <si>
    <t>玄炁+55%</t>
  </si>
  <si>
    <t>灵归</t>
  </si>
  <si>
    <t>随机获得5个键</t>
  </si>
  <si>
    <t>将持有键替换为不同的键各2个</t>
  </si>
  <si>
    <t>↓↑</t>
  </si>
  <si>
    <t>2,1</t>
  </si>
  <si>
    <t>本次行动延迟1息</t>
  </si>
  <si>
    <t>→↓</t>
  </si>
  <si>
    <t>行动期间破与防翻倍，本次行动不会被破招且持续到下个回合开始</t>
  </si>
  <si>
    <t>↓↓←→</t>
  </si>
  <si>
    <t>2,2,3,4</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</si>
  <si>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</si>
  <si>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</si>
  <si>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</si>
  <si>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</si>
  <si>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</si>
  <si>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t>
  </si>
  <si>
    <t>↓→</t>
  </si>
  <si>
    <t>本次行动不会被破招</t>
  </si>
  <si>
    <t>退出战斗</t>
  </si>
  <si>
    <t>迅速状态超过6时可使用</t>
  </si>
  <si>
    <t>←←←</t>
  </si>
  <si>
    <t>3,3,3</t>
  </si>
  <si>
    <t>若未成为敌手的行动目标则获得1层匿形状态</t>
  </si>
  <si>
    <t>在水域场景可使用</t>
  </si>
  <si>
    <t>渔术</t>
  </si>
  <si>
    <t>野法乱术</t>
  </si>
  <si>
    <t>↓↑↓</t>
  </si>
  <si>
    <t>持有猊煞状态可使用</t>
  </si>
  <si>
    <t>猊煞变</t>
  </si>
  <si>
    <t>本回合获得1次行动次数</t>
  </si>
  <si>
    <t>暴怒</t>
  </si>
  <si>
    <t>之后再次使用该招式所获得的破招抵免在本次战斗中提升2次</t>
  </si>
  <si>
    <t>剩余行动次数为1时可使用</t>
  </si>
  <si>
    <t>舔舐伤口</t>
  </si>
  <si>
    <t>垂身喘息</t>
  </si>
  <si>
    <t>刚炁+100，随机获得5个键</t>
  </si>
  <si>
    <t>至少持有5层毒瘴状态才可使用</t>
  </si>
  <si>
    <t>清除自身3个异常状态，若清除数量不超过3个则每少1个给予2层武增2层力增2层巧增</t>
  </si>
  <si>
    <t>玄炁上限+40</t>
  </si>
  <si>
    <t>玄炁+40</t>
  </si>
  <si>
    <t>玄炁上限+55</t>
  </si>
  <si>
    <t>玄炁+55</t>
  </si>
  <si>
    <t>→↓↓←</t>
  </si>
  <si>
    <t>行动期间破与防翻倍</t>
  </si>
  <si>
    <t>↓</t>
  </si>
  <si>
    <t>乌仇神功</t>
  </si>
  <si>
    <t>←↓↓</t>
  </si>
  <si>
    <t>对目标造成100%技的伤害</t>
  </si>
  <si>
    <t>→↑</t>
  </si>
  <si>
    <t>4,1</t>
  </si>
  <si>
    <t>对目标造成120%技的伤害</t>
  </si>
  <si>
    <t>刚炁+30</t>
  </si>
  <si>
    <t>→↑↓</t>
  </si>
  <si>
    <t>4,1,2</t>
  </si>
  <si>
    <t>对目标造成140%技的伤害</t>
  </si>
  <si>
    <t>刚炁+90</t>
  </si>
  <si>
    <t>→↑↓↓</t>
  </si>
  <si>
    <t>4,1,2,2</t>
  </si>
  <si>
    <t>招式的玄炁消耗转为当前30%，至多30</t>
  </si>
  <si>
    <t>↑←</t>
  </si>
  <si>
    <t>1,3</t>
  </si>
  <si>
    <t>招式的玄炁消耗转为当前40%，至多40</t>
  </si>
  <si>
    <t>对目标造成110%技的伤害</t>
  </si>
  <si>
    <t>↑←→</t>
  </si>
  <si>
    <t>1,3,4</t>
  </si>
  <si>
    <t>招式的玄炁消耗转为当前70%，至多70</t>
  </si>
  <si>
    <t>对目标造成125%技的伤害</t>
  </si>
  <si>
    <t>↑←→→</t>
  </si>
  <si>
    <t>1,3,4,4</t>
  </si>
  <si>
    <t>↓→←</t>
  </si>
  <si>
    <t>↑↑↓→</t>
  </si>
  <si>
    <t>→→→</t>
  </si>
  <si>
    <t>二流散功</t>
  </si>
  <si>
    <t>复制本回合使用过的术杀式效果</t>
  </si>
  <si>
    <t>孤支奇功</t>
  </si>
  <si>
    <t>目标杀式的威力若超出100则根据超出等量减少至多35的百分比，根据本次行动招式的二号键方向将交锋目标卦位改变为对应阳卦直到下回合(↑坎↓乾←兑→震)</t>
  </si>
  <si>
    <t>指爻派</t>
  </si>
  <si>
    <t>目标杀式的威力若超出100则根据超出等量减少至多35的百分比，交锋时根据本次行动招式的二号键方向将交锋目标卦位改变为对应阴卦直到下回合（↑巽↓坤←艮→离）</t>
  </si>
  <si>
    <t>自身或目标在乾位则本次招式威力增加15的百分比，自身在离/巽位则刚炁+10</t>
  </si>
  <si>
    <t>对目标造成120%技的伤害，命中施加2层破绽状态</t>
  </si>
  <si>
    <t>若自身在离/乾/巽位，卦位不会发生变化</t>
  </si>
  <si>
    <t>←↑↑</t>
  </si>
  <si>
    <t>自身或目标在坤位则本次招式威力增加15的百分比，自身在兑/坎位则玄炁+10</t>
  </si>
  <si>
    <t>对目标造成120%技的伤害，命中施加2层过劲状态</t>
  </si>
  <si>
    <t>若自身在兑/坤/坎位，卦位不会发生变化</t>
  </si>
  <si>
    <t>→↓↓</t>
  </si>
  <si>
    <t>自身或目标在震位则本次招式威力增加15的百分比，自身在艮/巽位则刚炁+10</t>
  </si>
  <si>
    <t>对目标造成120%技的伤害，命中施加2层技衰状态</t>
  </si>
  <si>
    <t>若自身在艮/震/巽位，卦位不会发生变化</t>
  </si>
  <si>
    <t>←↓←</t>
  </si>
  <si>
    <t>自身或目标在巽位则本次招式威力增加15的百分比，自身在震/乾位则玄炁+10</t>
  </si>
  <si>
    <t>对目标造成120%技的伤害，命中施加2层力衰状态</t>
  </si>
  <si>
    <t>若自身在震/巽/乾位，卦位不会发生变化</t>
  </si>
  <si>
    <t>→↑→</t>
  </si>
  <si>
    <t>自身或目标在离位则本次招式威力增加15的百分比，自身在乾/兑位则玄炁+10</t>
  </si>
  <si>
    <t>对目标造成120%技的伤害，命中施加2层状态</t>
  </si>
  <si>
    <t>若自身在乾/离/兑位，卦位不会发生变化</t>
  </si>
  <si>
    <t>→←←</t>
  </si>
  <si>
    <t>自身或目标在兑位则本次招式威力增加15的百分比，自身在离/坤位则刚炁+10</t>
  </si>
  <si>
    <t>对目标造成120%技的伤害，命中施加2层缓速状态</t>
  </si>
  <si>
    <t>若自身在离/兑/坤位，卦位不会发生变化</t>
  </si>
  <si>
    <t>自身或目标在艮位则本次招式威力增加15的百分比，自身在震/坎位则玄炁+10</t>
  </si>
  <si>
    <t>对目标造成120%技的伤害，命中施加2层刚屏状态</t>
  </si>
  <si>
    <t>若自身在震/艮/坎位，卦位不会发生变化</t>
  </si>
  <si>
    <t>→↓→</t>
  </si>
  <si>
    <t>自身或目标在坎位则本次招式威力增加15的百分比，自身在坤/艮位则玄炁+10</t>
  </si>
  <si>
    <t>对目标造成120%技的伤害，命中施加2层玄屏状态</t>
  </si>
  <si>
    <t>若自身在坤/坎/艮位，卦位不会发生变化</t>
  </si>
  <si>
    <t>←→→</t>
  </si>
  <si>
    <t>↓↑→</t>
  </si>
  <si>
    <t>对目标造成35%技的伤害</t>
  </si>
  <si>
    <t>敷宵宗</t>
  </si>
  <si>
    <t>施力压迫</t>
  </si>
  <si>
    <t>对目标造成125%技的伤害，命中施加3层刚屏合3层玄屏</t>
  </si>
  <si>
    <t>←←→↑</t>
  </si>
  <si>
    <t>对目标造成135%技的伤害，命中施加3层刚屏合3层玄屏</t>
  </si>
  <si>
    <t>←→←</t>
  </si>
  <si>
    <t>对全部敌手造成100%技的伤害，命中减少其1个键</t>
  </si>
  <si>
    <t>在下一息重复该行动，至多重复2次</t>
  </si>
  <si>
    <t>↑←↓→</t>
  </si>
  <si>
    <t>森森邪气</t>
  </si>
  <si>
    <t>随机获得3个键</t>
  </si>
  <si>
    <t>对目标造成125%技的伤害，命中时窃取目标1个增益状态</t>
  </si>
  <si>
    <t>若键的数量大于敌手则威力增加10的百分比，且命中时窃取目标1个增益状态的效果改为交锋时触发</t>
  </si>
  <si>
    <t>←→</t>
  </si>
  <si>
    <t>在下一息重复该行动，至多3次</t>
  </si>
  <si>
    <t>对目标造成135%技的伤害，命中时窃取目标2个增益状态</t>
  </si>
  <si>
    <t>若键的数量大于敌手则威力增加20的百分比，且命中时窃取目标2个增益状态的效果改为交锋时触发</t>
  </si>
  <si>
    <t>→←</t>
  </si>
  <si>
    <t>小</t>
  </si>
  <si>
    <t>随机消耗3个不同的键</t>
  </si>
  <si>
    <t>对目标造成100%技的伤害，命中</t>
  </si>
  <si>
    <t>威力增加0~50的百分比</t>
  </si>
  <si>
    <t>至少持有3个不同的键时可使用</t>
  </si>
  <si>
    <t>中</t>
  </si>
  <si>
    <t>随机消耗2个相同的键与1个不相同的键</t>
  </si>
  <si>
    <t>对目标造成50%技的伤害，威力增加0~140的百分比</t>
  </si>
  <si>
    <t>命中</t>
  </si>
  <si>
    <t>至少持有2个相同的键与1个不相同的键时可使用</t>
  </si>
  <si>
    <t>大</t>
  </si>
  <si>
    <t>随机消耗2个相同的键与另外2个相同的键</t>
  </si>
  <si>
    <t>对目标造成%技的伤害，命中</t>
  </si>
  <si>
    <t>玄炁+15</t>
  </si>
  <si>
    <t>基础法咒</t>
  </si>
  <si>
    <t>炁卜</t>
  </si>
  <si>
    <t>招式的玄炁消耗转为当前100%，本次行动招式威力受到的增幅加倍</t>
  </si>
  <si>
    <t>对目标造成130%技的伤害，命中时再造成50%技的伤害</t>
  </si>
  <si>
    <t>（若产生过交锋，未成功且本回合未被其他友方使用过招式则在本回合下次行动时可使用隐藏招式：沉嵩镇渊）</t>
  </si>
  <si>
    <t>随机获得2个键</t>
  </si>
  <si>
    <t>↑←↑↓</t>
  </si>
  <si>
    <t>对目标造成130%技的伤害</t>
  </si>
  <si>
    <t>刚炁+25</t>
  </si>
  <si>
    <t>↑←↓</t>
  </si>
  <si>
    <t>←↓</t>
  </si>
  <si>
    <t>对目标造成145%技的伤害</t>
  </si>
  <si>
    <t>→↑↑→</t>
  </si>
  <si>
    <t>对目标造成110%技的伤害，命中时获得30%技的护体状态</t>
  </si>
  <si>
    <t>→↑←</t>
  </si>
  <si>
    <t>←↓↓→</t>
  </si>
  <si>
    <t>↓→→</t>
  </si>
  <si>
    <t>蕃寰曲（中）</t>
  </si>
  <si>
    <t>萨么通幽</t>
  </si>
  <si>
    <t>对目标造成165%技的伤害，若目标体大于自身则命中时恢复伤害量一半的体，若目标体小于自身则命中时再造成伤害量一半的伤害</t>
  </si>
  <si>
    <t>刚炁+70</t>
  </si>
  <si>
    <t>←←→→</t>
  </si>
  <si>
    <t>对目标造成120%技的伤害，命中时恢复本回合受到伤害30%的体</t>
  </si>
  <si>
    <t>玄炁+10</t>
  </si>
  <si>
    <t>↑↓↓</t>
  </si>
  <si>
    <t>吮吸生机</t>
  </si>
  <si>
    <t>对目标造成160%技的伤害，命中时扣除其15%全部属性并增加等量的属性，消耗其20刚炁20玄炁并增加等量的炁</t>
  </si>
  <si>
    <t>清除其全部毒瘴状态并为全部角色施加1层毒瘴状态</t>
  </si>
  <si>
    <t>仅能对存在10层毒瘴状态的敌手使用</t>
  </si>
  <si>
    <t>死气纠缠</t>
  </si>
  <si>
    <t>对目标造成130%技的伤害，若目标毒瘴状态层数低于自身则威力增加20的百分比</t>
  </si>
  <si>
    <t>凋零</t>
  </si>
  <si>
    <t>对目标造成120%技的伤害，命中时施加随机按键的1层封穴状态和1层过劲状态</t>
  </si>
  <si>
    <t>若敌手的毒瘴状态层数不低于自身则不会被敌手破招</t>
  </si>
  <si>
    <t>夜盖胧刀</t>
  </si>
  <si>
    <t>对目标造成140%技的伤害，命中时施加3层破绽状态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</si>
  <si>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</si>
  <si>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</si>
  <si>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</si>
  <si>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</si>
  <si>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</si>
  <si>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对目标造成150%技的伤害，命中时随机封锁目标两个键直到回合结束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</si>
  <si>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</si>
  <si>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</si>
  <si>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</si>
  <si>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</si>
  <si>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</si>
  <si>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</si>
  <si>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</si>
  <si>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</si>
  <si>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</si>
  <si>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招式的玄炁消耗转为当前100%，至多100，获得5层巧增</t>
  </si>
  <si>
    <t>对目标造成160%技的伤害，造成的伤害不会被削减</t>
  </si>
  <si>
    <t>刚炁+当前100%（至少30）</t>
  </si>
  <si>
    <t>玄炁与刚炁相同时可使用</t>
  </si>
  <si>
    <t>元真门</t>
  </si>
  <si>
    <t>三丹炎</t>
  </si>
  <si>
    <t>获得5层寒沁</t>
  </si>
  <si>
    <t>对目标造成150%技的伤害，命中时施加3层破绽状态和3层失衡状态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</si>
  <si>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</si>
  <si>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</si>
  <si>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</si>
  <si>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</si>
  <si>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</si>
  <si>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</si>
  <si>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</si>
  <si>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</si>
  <si>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</si>
  <si>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</si>
  <si>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造成145%技的伤害，下回合不会自然恢复炁</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</si>
  <si>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</si>
  <si>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</si>
  <si>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</si>
  <si>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</si>
  <si>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</si>
  <si>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</si>
  <si>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</si>
  <si>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</si>
  <si>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</si>
  <si>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</si>
  <si>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</si>
  <si>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</si>
  <si>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</si>
  <si>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</si>
  <si>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</si>
  <si>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</si>
  <si>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</si>
  <si>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</si>
  <si>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</si>
  <si>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</si>
  <si>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</si>
  <si>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</si>
  <si>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</si>
  <si>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</si>
  <si>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</si>
  <si>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</si>
  <si>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</si>
  <si>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4,1,4</t>
  </si>
  <si>
    <t>折燕</t>
  </si>
  <si>
    <t>招式的刚炁消耗转为当前60%，至多60，该招式非行动预先阶段决定则在2息内获得1层回避状态（下一息结束后清除1层回避状态）</t>
  </si>
  <si>
    <t>→→←</t>
  </si>
  <si>
    <t>4,4,3</t>
  </si>
  <si>
    <t>穷追猛打</t>
  </si>
  <si>
    <t>→→→→</t>
  </si>
  <si>
    <t>4,4,4,4</t>
  </si>
  <si>
    <t>贴身向前</t>
  </si>
  <si>
    <t>玄炁+10，获得一层反击状态</t>
  </si>
  <si>
    <t>↑→←</t>
  </si>
  <si>
    <t>1,4,3</t>
  </si>
  <si>
    <t>蓄势待发</t>
  </si>
  <si>
    <t>获得3层缓速，本次行动不会被破招</t>
  </si>
  <si>
    <t>到下个回合前持续该行动，下个回合释放破竹</t>
  </si>
  <si>
    <t>→←↑→</t>
  </si>
  <si>
    <t>4,3,1,4</t>
  </si>
  <si>
    <t>破竹</t>
  </si>
  <si>
    <t>对目标造成160%力的伤害，造成的伤害增加50%，命中施加10层失衡状态</t>
  </si>
  <si>
    <t>玄炁+20</t>
  </si>
  <si>
    <t>洪钟</t>
  </si>
  <si>
    <t>招式的刚炁消耗转为当前60%，至多60，获得1层缓速</t>
  </si>
  <si>
    <t>对目标造成130%力的伤害，消耗全部护体层数增加等量伤害，命中施加3层失衡状态</t>
  </si>
  <si>
    <t>→←↑↓</t>
  </si>
  <si>
    <t>4,3,1,2</t>
  </si>
  <si>
    <t>拔山</t>
  </si>
  <si>
    <t>招式的刚炁消耗转为当前50%，至多50</t>
  </si>
  <si>
    <t>芟荑</t>
  </si>
  <si>
    <t>对目标造成150%力的伤害,首次造成击破返还全部刚炁消耗</t>
  </si>
  <si>
    <t>泊风刀法</t>
  </si>
  <si>
    <t>掷物</t>
  </si>
  <si>
    <t>↑</t>
  </si>
  <si>
    <t>点穴</t>
  </si>
  <si>
    <t>对目标造成80%力的伤害，命中时施加随机按键的2层封穴</t>
  </si>
  <si>
    <t>弹刹</t>
  </si>
  <si>
    <t>对目标造成75%力的伤害</t>
  </si>
  <si>
    <t>金真妙法（中）</t>
  </si>
  <si>
    <t>妙手空空</t>
  </si>
  <si>
    <t>对目标造成50%力的伤害,命中时窃取目标一种消耗品</t>
  </si>
  <si>
    <t>金真妙法（前中）</t>
  </si>
  <si>
    <t>太极</t>
  </si>
  <si>
    <t>若互为目标则本次行动的力倍率按照目标杀式的基础威力50%提高</t>
  </si>
  <si>
    <t>超一流</t>
  </si>
  <si>
    <t>生死渡</t>
  </si>
  <si>
    <t>招式的威力有概率增加50的百分比，概率随目标百分比损失的体增加</t>
  </si>
  <si>
    <t>对目标造成150%力的伤害</t>
  </si>
  <si>
    <t>每损失1%体减少该招式1刚炁消耗直到下次释放</t>
  </si>
  <si>
    <t>掠捕</t>
  </si>
  <si>
    <t>对目标造成115%力的伤害，造成伤害时穿透目标总体50%防</t>
  </si>
  <si>
    <t>悲海徊浪</t>
  </si>
  <si>
    <t>反击</t>
  </si>
  <si>
    <t>如骑</t>
  </si>
  <si>
    <t>释放前未带有异常状态则招式的威力增加25的百分比</t>
  </si>
  <si>
    <t>对目标造成130%力的伤害</t>
  </si>
  <si>
    <t>雷家功</t>
  </si>
  <si>
    <t>龙游雷</t>
  </si>
  <si>
    <t>获得3层雷行</t>
  </si>
  <si>
    <t>舍我</t>
  </si>
  <si>
    <t>对目标造成135%力的伤害</t>
  </si>
  <si>
    <t>每损失2%体减少该招式1刚炁消耗</t>
  </si>
  <si>
    <t>←↑↓</t>
  </si>
  <si>
    <t>苦既吾身</t>
  </si>
  <si>
    <t>对目标造成155%力的伤害，命中后对自身造成50%造成的伤害</t>
  </si>
  <si>
    <t>玄炁+当前50%（至少15）</t>
  </si>
  <si>
    <t>↓←←→</t>
  </si>
  <si>
    <t>绊手拌脚</t>
  </si>
  <si>
    <t>对目标造成120%力的伤害，命中后随机减少目标2个键</t>
  </si>
  <si>
    <t>→↑←↓</t>
  </si>
  <si>
    <t>横蛮断骨</t>
  </si>
  <si>
    <t>对目标造成130%力的伤害，命中后施加2层力衰</t>
  </si>
  <si>
    <t>莽袭</t>
  </si>
  <si>
    <t>招式的刚炁消耗转为当前80%，至多80</t>
  </si>
  <si>
    <t>获得4层力衰</t>
  </si>
  <si>
    <t>→↓↑</t>
  </si>
  <si>
    <t>炁乱筋伤</t>
  </si>
  <si>
    <t>对目标造成110%力的伤害，至少造成55%力的伤害时施加2层武衰</t>
  </si>
  <si>
    <t>开口子</t>
  </si>
  <si>
    <t>对目标造成105%力的伤害，命中后施加2层伤口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</si>
  <si>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</si>
  <si>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</si>
  <si>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</si>
  <si>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</si>
  <si>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</si>
  <si>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</si>
  <si>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</si>
  <si>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</si>
  <si>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</si>
  <si>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</si>
  <si>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</si>
  <si>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</si>
  <si>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</si>
  <si>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</si>
  <si>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若持有异常状态则本次行动不会被破招</t>
  </si>
  <si>
    <t>对目标造成125%力的伤害，命中施加至多2个自身持有的异常状态</t>
  </si>
  <si>
    <t>每获得过一个异常状态减少该招式10刚炁消耗，使用后恢复</t>
  </si>
  <si>
    <t>嚣风辗</t>
  </si>
  <si>
    <t>本次行动为该回合首次行动则该招式威力增加35的百分比</t>
  </si>
  <si>
    <t>在下一息重复该行动，至多重复1次</t>
  </si>
  <si>
    <t>威力增加效果不超过30的百分比则命中后该招式下次释放视为回合首次行动</t>
  </si>
  <si>
    <t>虎烈袭</t>
  </si>
  <si>
    <t>对目标造成125%力的伤害，命中施加3层缓速和3层刚屏</t>
  </si>
  <si>
    <t>持有的键的数量大于5时可使用</t>
  </si>
  <si>
    <t>→↓←</t>
  </si>
  <si>
    <t>极百炼</t>
  </si>
  <si>
    <t>对目标造成150%力的伤害，命中获得3层武增状态和3层术增状态</t>
  </si>
  <si>
    <t>持有的键的数量大于9时可使用</t>
  </si>
  <si>
    <t>→↓←↑</t>
  </si>
  <si>
    <t>对目标造成120%力的伤害，未产生交锋则恢复伤害等量的体</t>
  </si>
  <si>
    <t>交锋敌手未带有↑类留劲状态则招式威力增加50的百分比</t>
  </si>
  <si>
    <t>死斗</t>
  </si>
  <si>
    <t>胜者返还招式消耗的键</t>
  </si>
  <si>
    <t>→→↓</t>
  </si>
  <si>
    <t>4,4,2</t>
  </si>
  <si>
    <t>空神</t>
  </si>
  <si>
    <t>消耗2个→键和1个←键，行动期间不受异常状态的影响，本次行动不会被破招</t>
  </si>
  <si>
    <t>获得4层刚屏</t>
  </si>
  <si>
    <t>持有2个→键和1个←键时可使用</t>
  </si>
  <si>
    <t>戏目</t>
  </si>
  <si>
    <t>施加1层盲目状态</t>
  </si>
  <si>
    <t>↑→→</t>
  </si>
  <si>
    <t>以牙还牙</t>
  </si>
  <si>
    <t>对目标造成100%力的伤害，本回合受到过目标的直接伤害则威力增加35的百分比</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</si>
  <si>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</si>
  <si>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</si>
  <si>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</si>
  <si>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</si>
  <si>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</si>
  <si>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</si>
  <si>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</si>
  <si>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</si>
  <si>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</si>
  <si>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对目标造成115%力的伤害，未产生交锋则施加1层失衡</t>
  </si>
  <si>
    <t>夺梢</t>
  </si>
  <si>
    <t>对目标造成60%力的伤害,命中施加1层伤口状态</t>
  </si>
  <si>
    <t>玄炁+25</t>
  </si>
  <si>
    <t>铁掣</t>
  </si>
  <si>
    <t>玄炁+35</t>
  </si>
  <si>
    <t>急乱冲撞</t>
  </si>
  <si>
    <t>解除自身2个负面状态</t>
  </si>
  <si>
    <t>对目标造成145%力的伤害，命中施加1层晕眩状态</t>
  </si>
  <si>
    <t>获得1层晕眩状态</t>
  </si>
  <si>
    <t>猛烈压铸</t>
  </si>
  <si>
    <t>本回合未受到过2次直接伤害本次行动不会被破招</t>
  </si>
  <si>
    <t>对目标造成155%力的伤害，命中施加1层晕眩状态</t>
  </si>
  <si>
    <t>→→↓↓</t>
  </si>
  <si>
    <t>排开</t>
  </si>
  <si>
    <t>获得3层避殃状态</t>
  </si>
  <si>
    <t>对目标造成140%力的伤害，命中解除目标2个增益状态</t>
  </si>
  <si>
    <t>铁爪功</t>
  </si>
  <si>
    <t>对目标造成120%力的伤害，命中施加1层盲目状态</t>
  </si>
  <si>
    <t>↓→↓↓</t>
  </si>
  <si>
    <t>猛虎下山</t>
  </si>
  <si>
    <t>招式的玄炁消耗转为当前80%，至多80</t>
  </si>
  <si>
    <t>对目标造成145%力的伤害</t>
  </si>
  <si>
    <t>获得1层武增状态</t>
  </si>
  <si>
    <t>飞花落</t>
  </si>
  <si>
    <t>对目标造成130%力的伤害，命中施加1层伤口状态</t>
  </si>
  <si>
    <t>触发3次目标的伤口效果</t>
  </si>
  <si>
    <t>破镜</t>
  </si>
  <si>
    <t>招式的刚炁消耗转为当前70%，至多70，本次行动延迟2息</t>
  </si>
  <si>
    <t>对目标造成130%力的伤害，本回合未受到过杀式直接攻击则造成的伤害增加40%</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</si>
  <si>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</si>
  <si>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</si>
  <si>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</si>
  <si>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</si>
  <si>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</si>
  <si>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</si>
  <si>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</si>
  <si>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</si>
  <si>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</si>
  <si>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</si>
  <si>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对目标造成145%力的伤害，命中后根据目标的伤口状态层数造成3~8次伤口效果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</si>
  <si>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</si>
  <si>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</si>
  <si>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</si>
  <si>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</si>
  <si>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</si>
  <si>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</si>
  <si>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</si>
  <si>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</si>
  <si>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</si>
  <si>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</si>
  <si>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</si>
  <si>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对目标造成105%力的伤害，命中时施加1层僵硬状态</t>
  </si>
  <si>
    <t>断潮索</t>
  </si>
  <si>
    <t>对目标造成125%力的伤害，命中时移除目标1个增益状态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</si>
  <si>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</si>
  <si>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</si>
  <si>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</si>
  <si>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</si>
  <si>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</si>
  <si>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</si>
  <si>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</si>
  <si>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</si>
  <si>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</si>
  <si>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</si>
  <si>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</si>
  <si>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对目标造成160%力的伤害，命中后消耗目标刚炁与玄炁中最高一项的50%（至多50）</t>
  </si>
  <si>
    <t>本次行动不影响增益状态的存续</t>
  </si>
  <si>
    <t>存在化身类状态可使用</t>
  </si>
  <si>
    <t>玄炁+当前30%（至少9），若处于化身类状态则改为玄炁+当前50%（至少15）</t>
  </si>
  <si>
    <t>↑→</t>
  </si>
  <si>
    <t>寸兵释武</t>
  </si>
  <si>
    <t>该招式威力增减效果翻倍</t>
  </si>
  <si>
    <t>清除全部武增状态，若处于兽化身状态则不会清除武增状态</t>
  </si>
  <si>
    <t>对目标造成135%力的伤害，行动快于目标则根据行动差的一半施加伤口状态，若处于禽化身状态则等量施加伤口状态</t>
  </si>
  <si>
    <t>对目标造成155%力的伤害，至少造成100%力的伤害时刚炁+50</t>
  </si>
  <si>
    <t>↓↑↑→</t>
  </si>
  <si>
    <t>对目标造成145%力的伤害，命中施加2层盲目状态</t>
  </si>
  <si>
    <t>↓←↓↑</t>
  </si>
  <si>
    <t>本回合受到的全部伤害在下个回合开始时才会生效，本次行动不会被破招</t>
  </si>
  <si>
    <t>对目标造成160%力的伤害，命中获得3层武增状态</t>
  </si>
  <si>
    <t>清除全部兽化身状态</t>
  </si>
  <si>
    <t>对目标造成150%力的伤害，命中施加1层失衡状态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</si>
  <si>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</si>
  <si>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</si>
  <si>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</si>
  <si>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</si>
  <si>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</si>
  <si>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</si>
  <si>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</si>
  <si>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</si>
  <si>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对目标造成130%力的伤害，命中后至多转移2个异常状态</t>
  </si>
  <si>
    <t>交锋失败下次释放将命中后转移全部异常状态</t>
  </si>
  <si>
    <t>拦腰截断</t>
  </si>
  <si>
    <t>对目标造成170%力的伤害，每带有一个异常状态威力减少10的百分比</t>
  </si>
  <si>
    <t>撼地</t>
  </si>
  <si>
    <t>对全部敌手造成100%力的伤害，命中施加2层失持状态</t>
  </si>
  <si>
    <t>消耗敌手2个键</t>
  </si>
  <si>
    <t>胡抓乱挠</t>
  </si>
  <si>
    <t>若带有增益状态则在下一息将以随机目标重复该行动，至多重复1次</t>
  </si>
  <si>
    <t>当头猛击</t>
  </si>
  <si>
    <t>对目标造成145%力的伤害，自身异常状态未超过2个则命中时施加1层晕眩状态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</si>
  <si>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</si>
  <si>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</si>
  <si>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</si>
  <si>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</si>
  <si>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</si>
  <si>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对目标造成125%力的伤害，命中施加2层缓速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</si>
  <si>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</si>
  <si>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</si>
  <si>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</si>
  <si>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</si>
  <si>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</si>
  <si>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</si>
  <si>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</si>
  <si>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</si>
  <si>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</si>
  <si>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</si>
  <si>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</si>
  <si>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</si>
  <si>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</si>
  <si>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</si>
  <si>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</si>
  <si>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对目标造成135%力的伤害，命中后至多转移2个异常状态</t>
  </si>
  <si>
    <t>对目标造成175%力的伤害，每带有一个异常状态威力减少10的百分比</t>
  </si>
  <si>
    <t>对目标造成150%力的伤害，自身异常状态未超过2个则命中时施加1层晕眩状态</t>
  </si>
  <si>
    <t>对目标造成120%力的伤害并获得1层武增状态，受威力增减效果2倍</t>
  </si>
  <si>
    <t>对目标造成140%力的伤害，命中后至多转移3个异常状态</t>
  </si>
  <si>
    <t>对目标造成175%力的伤害，每带有一个异常状态威力减少5的百分比</t>
  </si>
  <si>
    <t>对目标造成150%力的伤害，命中施加1层伤口状态</t>
  </si>
  <si>
    <t>对目标造成155%力的伤害，自身异常状态未超过2个则命中时施加1层晕眩状态</t>
  </si>
  <si>
    <t>对目标造成125%力的伤害并获得1层武增状态，受威力增减效果2倍</t>
  </si>
  <si>
    <t>绿萝花开</t>
  </si>
  <si>
    <t>幻千笈</t>
  </si>
  <si>
    <t>对目标造成160%力的伤害，命中施加2层过劲状态且早晨的伤害减少30%</t>
  </si>
  <si>
    <t>若本回合恢复过玄炁，</t>
  </si>
  <si>
    <t>命中施加3层力衰</t>
  </si>
  <si>
    <t>命中施加3层技衰</t>
  </si>
  <si>
    <t>行动决定后获得2层力增</t>
  </si>
  <si>
    <t>对目标造成80%力的伤害，消耗目标1个键</t>
  </si>
  <si>
    <t>交锋失败下次释放将威力增加80的百分比</t>
  </si>
  <si>
    <t>在下1息友方首次以敌方作为行动目标行动后对其行动目标重复此招式</t>
  </si>
  <si>
    <t>傀摆戏</t>
  </si>
  <si>
    <t>惊鸿</t>
  </si>
  <si>
    <t>对目标造成5%力的伤害，每有一层迅速状态威力增15的百分比，造成伤害时穿透目标总体50%防</t>
  </si>
  <si>
    <t>玄炁+10，随机消耗1个键</t>
  </si>
  <si>
    <t>炁转逆参</t>
  </si>
  <si>
    <t>对目标施加4层破绽</t>
  </si>
  <si>
    <t>←↓↑→</t>
  </si>
  <si>
    <t>3,2,1,4</t>
  </si>
  <si>
    <t>六爻速断</t>
  </si>
  <si>
    <t>本次行动加快3息</t>
  </si>
  <si>
    <t>对全体对手施加1层破绽</t>
  </si>
  <si>
    <t>←↑→↓</t>
  </si>
  <si>
    <t>3,1,4,2</t>
  </si>
  <si>
    <t>清神咒</t>
  </si>
  <si>
    <t>本次行动不影响状态的存续且延迟1息</t>
  </si>
  <si>
    <t>清除自身全部异常状态</t>
  </si>
  <si>
    <t>获得2个随机的键</t>
  </si>
  <si>
    <t>↓←↓</t>
  </si>
  <si>
    <t>2,3,2</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</si>
  <si>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</si>
  <si>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</si>
  <si>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</si>
  <si>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</si>
  <si>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</si>
  <si>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</si>
  <si>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</si>
  <si>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</si>
  <si>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</si>
  <si>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</si>
  <si>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</si>
  <si>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</si>
  <si>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</si>
  <si>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</si>
  <si>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</si>
  <si>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</si>
  <si>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</si>
  <si>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</si>
  <si>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</si>
  <si>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</si>
  <si>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清除目标全部增益状态</t>
  </si>
  <si>
    <t>我身敷宵</t>
  </si>
  <si>
    <t>剑出</t>
  </si>
  <si>
    <t>获得3层敷宵剑</t>
  </si>
  <si>
    <t>←↑→</t>
  </si>
  <si>
    <t>烟云待</t>
  </si>
  <si>
    <t>获得1层傍剑（标记目标）</t>
  </si>
  <si>
    <t>溯流</t>
  </si>
  <si>
    <t>本回合使用过术杀式则玄炁+30</t>
  </si>
  <si>
    <t>↑↑↓</t>
  </si>
  <si>
    <t>燃息</t>
  </si>
  <si>
    <t>本次行动不影响状态的存续，本回合获得1次行动次数</t>
  </si>
  <si>
    <t>获得燃息1层状态</t>
  </si>
  <si>
    <t>牵丝引线</t>
  </si>
  <si>
    <t>若目标习有心法：勾牌人则将行动所在息调整为同一息</t>
  </si>
  <si>
    <t>若目标习有心法：勾牌人则使本回合其获得1次行动次数</t>
  </si>
  <si>
    <t>目标刚炁+10</t>
  </si>
  <si>
    <t>↑↓←→</t>
  </si>
  <si>
    <t>启符</t>
  </si>
  <si>
    <t>涅槃法</t>
  </si>
  <si>
    <t>本次行动延迟3息</t>
  </si>
  <si>
    <t>消耗全部的键，平均每消耗一个键玄炁+5并恢复x+GR*y体，若消耗的键大于5还会减少1层负面状态</t>
  </si>
  <si>
    <t>行字诀</t>
  </si>
  <si>
    <t>获得6层稳势状态</t>
  </si>
  <si>
    <t>↓←↑</t>
  </si>
  <si>
    <t>乍起</t>
  </si>
  <si>
    <t>本次行动不会被未带有→类留劲状态的敌手破招</t>
  </si>
  <si>
    <t>获得3层力增状态3层技增状态，本回合获得1次行动次数</t>
  </si>
  <si>
    <t>玄炁+9500</t>
  </si>
  <si>
    <t>获得5层力增状态5层技增状态，本回合获得1次行动次数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</si>
  <si>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</si>
  <si>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</si>
  <si>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</si>
  <si>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</si>
  <si>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</si>
  <si>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</si>
  <si>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敌手获得2个键</t>
  </si>
  <si>
    <t>↑↑↑</t>
  </si>
  <si>
    <t>↓↓↓</t>
  </si>
  <si>
    <t>九息服气</t>
  </si>
  <si>
    <t>刚炁+20，玄炁+20，清除自身2个异常状态</t>
  </si>
  <si>
    <t>未在上一回合受到伤害可使用</t>
  </si>
  <si>
    <t>正立无影</t>
  </si>
  <si>
    <t>本次行动不会被破招，获得3层回避状态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</si>
  <si>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</si>
  <si>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</si>
  <si>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</si>
  <si>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</si>
  <si>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</si>
  <si>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</si>
  <si>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</si>
  <si>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</si>
  <si>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</si>
  <si>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</si>
  <si>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</si>
  <si>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</si>
  <si>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</si>
  <si>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</si>
  <si>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</si>
  <si>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</si>
  <si>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</si>
  <si>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</si>
  <si>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</si>
  <si>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</si>
  <si>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本次行动加快2息或减缓2息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</si>
  <si>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</si>
  <si>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</si>
  <si>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</si>
  <si>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</si>
  <si>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</si>
  <si>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</si>
  <si>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</si>
  <si>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</si>
  <si>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</si>
  <si>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</si>
  <si>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</si>
  <si>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</si>
  <si>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</si>
  <si>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</si>
  <si>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</si>
  <si>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</si>
  <si>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</si>
  <si>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</si>
  <si>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</si>
  <si>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</si>
  <si>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</si>
  <si>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</si>
  <si>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</si>
  <si>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</si>
  <si>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</si>
  <si>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</si>
  <si>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</si>
  <si>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</si>
  <si>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</si>
  <si>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</si>
  <si>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</si>
  <si>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</si>
  <si>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</si>
  <si>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</si>
  <si>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</si>
  <si>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</si>
  <si>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</si>
  <si>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</si>
  <si>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</si>
  <si>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</si>
  <si>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</si>
  <si>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</si>
  <si>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</si>
  <si>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本回合获得1次行动次数，玄炁+5</t>
  </si>
  <si>
    <t>交蚀</t>
  </si>
  <si>
    <t>若持有刚炁大于玄炁则玄炁+25并获得2层武增状态，若持有刚炁小于玄炁则刚炁+25并获得2层术增状态，持有刚炁与玄炁持平则获得5层武增和5层玄增状态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</si>
  <si>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</si>
  <si>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</si>
  <si>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</si>
  <si>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</si>
  <si>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</si>
  <si>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</si>
  <si>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</si>
  <si>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</si>
  <si>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</si>
  <si>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</si>
  <si>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</si>
  <si>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</si>
  <si>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</si>
  <si>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</si>
  <si>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</si>
  <si>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</si>
  <si>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</si>
  <si>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</si>
  <si>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</si>
  <si>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</si>
  <si>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清除全部角色的异常效果，将天气覆盖为雨天8个回合</t>
  </si>
  <si>
    <t>体未有损失时可使用</t>
  </si>
  <si>
    <t>本次行动不会被招式未带有→键的敌手破招</t>
  </si>
  <si>
    <t>玄炁+5</t>
  </si>
  <si>
    <t>敌手随机扣除2个键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</si>
  <si>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</si>
  <si>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</si>
  <si>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</si>
  <si>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</si>
  <si>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</si>
  <si>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</si>
  <si>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</si>
  <si>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</si>
  <si>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</si>
  <si>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</si>
  <si>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</si>
  <si>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</si>
  <si>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</si>
  <si>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</si>
  <si>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</si>
  <si>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</si>
  <si>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</si>
  <si>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</si>
  <si>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</si>
  <si>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</si>
  <si>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</si>
  <si>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</si>
  <si>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</si>
  <si>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</si>
  <si>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</si>
  <si>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</si>
  <si>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仅能对3回合之前杀式命中过的角色使用，使用后清除全部命中累计</t>
  </si>
  <si>
    <t>本次行动不影响状态的存续，获得3层行字决</t>
  </si>
  <si>
    <t>获得3层巧增</t>
  </si>
  <si>
    <t>本回合获得1次行动次数，下次行动加快10息</t>
  </si>
  <si>
    <t>桑榆现</t>
  </si>
  <si>
    <t>在本息将时段变为夜</t>
  </si>
  <si>
    <t>非派式</t>
  </si>
  <si>
    <t>派式</t>
  </si>
  <si>
    <t>特殊</t>
  </si>
  <si>
    <t>四象形意（4）</t>
  </si>
  <si>
    <t>金真妙法</t>
  </si>
  <si>
    <t>蕃寰曲</t>
  </si>
  <si>
    <t>后期</t>
  </si>
  <si>
    <t>自如梦</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</si>
  <si>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</si>
  <si>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</si>
  <si>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</si>
  <si>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</si>
  <si>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</si>
  <si>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</si>
  <si>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</si>
  <si>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</si>
  <si>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</si>
  <si>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</si>
  <si>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</si>
  <si>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</si>
  <si>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</si>
  <si>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</si>
  <si>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</si>
  <si>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</si>
  <si>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</si>
  <si>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</si>
  <si>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</si>
  <si>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</si>
  <si>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</si>
  <si>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</si>
  <si>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</si>
  <si>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</si>
  <si>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</si>
  <si>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</si>
  <si>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</si>
  <si>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</si>
  <si>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</si>
  <si>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</si>
  <si>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</si>
  <si>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</si>
  <si>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</si>
  <si>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</si>
  <si>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</si>
  <si>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</si>
  <si>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</si>
  <si>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</si>
  <si>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</si>
  <si>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</si>
  <si>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</si>
  <si>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特效产生点</t>
  </si>
  <si>
    <t>行动决定后</t>
  </si>
  <si>
    <t>释放成功</t>
  </si>
  <si>
    <t>产生交锋</t>
  </si>
  <si>
    <t>行动后</t>
  </si>
  <si>
    <t>获得对方招式构成相同的键</t>
    <phoneticPr fontId="8" type="noConversion"/>
  </si>
  <si>
    <t>行动期间破与防翻倍，本次行动不会被破招且行动的前2息内即将受到攻击将立即执行本次行动</t>
    <phoneticPr fontId="8" type="noConversion"/>
  </si>
  <si>
    <t>汲苦</t>
    <phoneticPr fontId="8" type="noConversion"/>
  </si>
  <si>
    <t>2,2,1</t>
    <phoneticPr fontId="8" type="noConversion"/>
  </si>
  <si>
    <t>若互为目标则敌手因招式效果获得的炁-100</t>
    <phoneticPr fontId="8" type="noConversion"/>
  </si>
  <si>
    <t>招架</t>
    <phoneticPr fontId="8" type="noConversion"/>
  </si>
  <si>
    <t>外炁屏障</t>
    <phoneticPr fontId="8" type="noConversion"/>
  </si>
  <si>
    <t>1,4,2</t>
    <phoneticPr fontId="8" type="noConversion"/>
  </si>
  <si>
    <t>招式的招式的刚炁消耗转为当前50%，至多50</t>
    <phoneticPr fontId="8" type="noConversion"/>
  </si>
  <si>
    <t>获得80%力的护体</t>
    <phoneticPr fontId="8" type="noConversion"/>
  </si>
  <si>
    <t>行动期间若受到过直接伤害则刚炁+15</t>
    <phoneticPr fontId="8" type="noConversion"/>
  </si>
  <si>
    <t>获得1个随机的键</t>
    <phoneticPr fontId="8" type="noConversion"/>
  </si>
  <si>
    <t>玄炁+10，下个回合开始获得本回合结束时等量的护体</t>
    <phoneticPr fontId="8" type="noConversion"/>
  </si>
  <si>
    <t>风传</t>
    <phoneticPr fontId="8" type="noConversion"/>
  </si>
  <si>
    <t>2,3,3,2</t>
    <phoneticPr fontId="8" type="noConversion"/>
  </si>
  <si>
    <t>指定友方获得2层迅速，清除目标的缓速状态</t>
    <phoneticPr fontId="8" type="noConversion"/>
  </si>
  <si>
    <t>玄炁+20，双方获得1个随机的键</t>
    <phoneticPr fontId="8" type="noConversion"/>
  </si>
  <si>
    <t>临阵之志</t>
    <phoneticPr fontId="8" type="noConversion"/>
  </si>
  <si>
    <t>2,2,4,1</t>
    <phoneticPr fontId="8" type="noConversion"/>
  </si>
  <si>
    <t>获得一层反击</t>
    <phoneticPr fontId="8" type="noConversion"/>
  </si>
  <si>
    <t>在3息内反击不会低于一层</t>
    <phoneticPr fontId="8" type="noConversion"/>
  </si>
  <si>
    <t>聚炁</t>
    <phoneticPr fontId="8" type="noConversion"/>
  </si>
  <si>
    <t>1,1</t>
    <phoneticPr fontId="8" type="noConversion"/>
  </si>
  <si>
    <t>刚炁+15，玄炁+15</t>
    <phoneticPr fontId="8" type="noConversion"/>
  </si>
  <si>
    <t>运玄流</t>
    <phoneticPr fontId="8" type="noConversion"/>
  </si>
  <si>
    <t>运刚流</t>
    <phoneticPr fontId="8" type="noConversion"/>
  </si>
  <si>
    <t>1,1,3</t>
    <phoneticPr fontId="8" type="noConversion"/>
  </si>
  <si>
    <t>1,1,4</t>
    <phoneticPr fontId="8" type="noConversion"/>
  </si>
  <si>
    <t>玄炁+50</t>
    <phoneticPr fontId="8" type="noConversion"/>
  </si>
  <si>
    <t>刚炁+50</t>
    <phoneticPr fontId="8" type="noConversion"/>
  </si>
  <si>
    <t>每次使用后该招式减少2刚炁消耗减少5玄炁增加</t>
    <phoneticPr fontId="8" type="noConversion"/>
  </si>
  <si>
    <t>每次使用后该招式减少2玄炁消耗减少5刚炁增加</t>
    <phoneticPr fontId="8" type="noConversion"/>
  </si>
  <si>
    <t>铩血功</t>
    <phoneticPr fontId="8" type="noConversion"/>
  </si>
  <si>
    <t>1,4,4,2</t>
    <phoneticPr fontId="8" type="noConversion"/>
  </si>
  <si>
    <t>获得100%力的血炁甲状态层数</t>
    <phoneticPr fontId="8" type="noConversion"/>
  </si>
  <si>
    <t>下次行动前受到伤害后减少等量体获得等量血炁甲层数</t>
    <phoneticPr fontId="8" type="noConversion"/>
  </si>
  <si>
    <t>快服</t>
    <phoneticPr fontId="8" type="noConversion"/>
  </si>
  <si>
    <t>将自身至多2个随机异常状态转为等量随机1层增益状态（迅速/刚聚/力增/武增）</t>
    <phoneticPr fontId="8" type="noConversion"/>
  </si>
  <si>
    <t>披茧功</t>
    <phoneticPr fontId="8" type="noConversion"/>
  </si>
  <si>
    <t>3,1,3</t>
    <phoneticPr fontId="8" type="noConversion"/>
  </si>
  <si>
    <t>键至少5则本次行动不会被破招</t>
    <phoneticPr fontId="8" type="noConversion"/>
  </si>
  <si>
    <t>刚炁至少50则本次行动不会被破招</t>
    <phoneticPr fontId="8" type="noConversion"/>
  </si>
  <si>
    <t>汇力诀</t>
    <phoneticPr fontId="8" type="noConversion"/>
  </si>
  <si>
    <t>1,3,1</t>
    <phoneticPr fontId="8" type="noConversion"/>
  </si>
  <si>
    <t>获得3层心眼状态</t>
    <phoneticPr fontId="8" type="noConversion"/>
  </si>
  <si>
    <t>刚炁+60</t>
    <phoneticPr fontId="8" type="noConversion"/>
  </si>
  <si>
    <t>获得1层武增和2层力增</t>
    <phoneticPr fontId="8" type="noConversion"/>
  </si>
  <si>
    <t>玄龙灌体</t>
    <phoneticPr fontId="8" type="noConversion"/>
  </si>
  <si>
    <t>1,2</t>
    <phoneticPr fontId="8" type="noConversion"/>
  </si>
  <si>
    <t>获得2层武增状态和3层力增状态和4层刚聚状态</t>
    <phoneticPr fontId="8" type="noConversion"/>
  </si>
  <si>
    <t>获得5个随机的键</t>
    <phoneticPr fontId="8" type="noConversion"/>
  </si>
  <si>
    <t>调步</t>
    <phoneticPr fontId="8" type="noConversion"/>
  </si>
  <si>
    <t>2,3,4,1</t>
    <phoneticPr fontId="8" type="noConversion"/>
  </si>
  <si>
    <t>获得2层玄聚状态</t>
    <phoneticPr fontId="8" type="noConversion"/>
  </si>
  <si>
    <t>消耗全部的键获得（等量+4）随机的键，本回合获得1次行动次数</t>
    <phoneticPr fontId="8" type="noConversion"/>
  </si>
  <si>
    <t>1,1,4,2</t>
    <phoneticPr fontId="8" type="noConversion"/>
  </si>
  <si>
    <t>本次行动不会被未带有←类留劲状态的敌手破招</t>
    <phoneticPr fontId="8" type="noConversion"/>
  </si>
  <si>
    <t>玄炁上限+40%</t>
    <phoneticPr fontId="8" type="noConversion"/>
  </si>
  <si>
    <t>玄炁+40%</t>
    <phoneticPr fontId="8" type="noConversion"/>
  </si>
  <si>
    <t>灵归</t>
    <phoneticPr fontId="8" type="noConversion"/>
  </si>
  <si>
    <t>随机获得5个键</t>
    <phoneticPr fontId="8" type="noConversion"/>
  </si>
  <si>
    <t>将持有键替换为不同的键各2个</t>
    <phoneticPr fontId="8" type="noConversion"/>
  </si>
  <si>
    <t>玄炁+75%</t>
    <phoneticPr fontId="8" type="noConversion"/>
  </si>
  <si>
    <t>观</t>
    <phoneticPr fontId="8" type="noConversion"/>
  </si>
  <si>
    <t>4,2</t>
    <phoneticPr fontId="8" type="noConversion"/>
  </si>
  <si>
    <t>本次行动延迟1息</t>
    <phoneticPr fontId="8" type="noConversion"/>
  </si>
  <si>
    <t>获得3层心眼状态，本回合获得1次行动次数</t>
    <phoneticPr fontId="8" type="noConversion"/>
  </si>
  <si>
    <t>玄炁+75%，若被破招则下次使用该招式不会被破招</t>
    <phoneticPr fontId="8" type="noConversion"/>
  </si>
  <si>
    <t>铁筋功</t>
    <phoneticPr fontId="8" type="noConversion"/>
  </si>
  <si>
    <t>2,2,3,4</t>
    <phoneticPr fontId="8" type="noConversion"/>
  </si>
  <si>
    <t>施加3层力衰状态</t>
    <phoneticPr fontId="8" type="noConversion"/>
  </si>
  <si>
    <t>焚羽凌霄</t>
    <phoneticPr fontId="8" type="noConversion"/>
  </si>
  <si>
    <t>1,4,2,3</t>
    <phoneticPr fontId="8" type="noConversion"/>
  </si>
  <si>
    <t>获得10层缓速和10层迅速</t>
    <phoneticPr fontId="8" type="noConversion"/>
  </si>
  <si>
    <t>获得5层术衰状态和5层术增和5层技增和5层技衰</t>
    <phoneticPr fontId="8" type="noConversion"/>
  </si>
  <si>
    <t>鸩姿</t>
    <phoneticPr fontId="8" type="noConversion"/>
  </si>
  <si>
    <t>补充随机的键到达持有上限</t>
    <phoneticPr fontId="8" type="noConversion"/>
  </si>
  <si>
    <t>本回合获得1次行动次数，下回合开始消耗全部键</t>
    <phoneticPr fontId="8" type="noConversion"/>
  </si>
  <si>
    <t>行动期间防翻倍，本次行动不会被武杀式破招且持续到下个回合开始或下一次行动</t>
    <phoneticPr fontId="8" type="noConversion"/>
  </si>
  <si>
    <t>若与杀式交锋则刚炁+20,若且互为目标则消耗目标20刚炁</t>
    <phoneticPr fontId="8" type="noConversion"/>
  </si>
  <si>
    <t>逃之夭夭</t>
    <phoneticPr fontId="8" type="noConversion"/>
  </si>
  <si>
    <t>周旋</t>
    <phoneticPr fontId="8" type="noConversion"/>
  </si>
  <si>
    <t>获得1层回避</t>
    <phoneticPr fontId="8" type="noConversion"/>
  </si>
  <si>
    <t>获得4个不同的键</t>
    <phoneticPr fontId="8" type="noConversion"/>
  </si>
  <si>
    <t>遁江</t>
    <phoneticPr fontId="8" type="noConversion"/>
  </si>
  <si>
    <t>若未成为敌手的行动目标则获得1层匿形状态</t>
    <phoneticPr fontId="8" type="noConversion"/>
  </si>
  <si>
    <t>刚炁+20</t>
    <phoneticPr fontId="8" type="noConversion"/>
  </si>
  <si>
    <t>好戏开场</t>
    <phoneticPr fontId="8" type="noConversion"/>
  </si>
  <si>
    <t>下次行动的玄炁消耗减少30</t>
    <phoneticPr fontId="8" type="noConversion"/>
  </si>
  <si>
    <t>围追堵截</t>
    <phoneticPr fontId="8" type="noConversion"/>
  </si>
  <si>
    <t>目标本次杀式行动的目标转来至自身</t>
    <phoneticPr fontId="8" type="noConversion"/>
  </si>
  <si>
    <t>妖化</t>
    <phoneticPr fontId="8" type="noConversion"/>
  </si>
  <si>
    <t>持有猊煞状态可使用</t>
    <phoneticPr fontId="8" type="noConversion"/>
  </si>
  <si>
    <t>获得2层巧增</t>
    <phoneticPr fontId="8" type="noConversion"/>
  </si>
  <si>
    <t>玄炁+40，下回合猊煞状态不会产生消耗</t>
    <phoneticPr fontId="8" type="noConversion"/>
  </si>
  <si>
    <t>叩天门</t>
    <phoneticPr fontId="8" type="noConversion"/>
  </si>
  <si>
    <t>获得1层烈命状态</t>
    <phoneticPr fontId="8" type="noConversion"/>
  </si>
  <si>
    <t>本回合获得1次行动次数</t>
    <phoneticPr fontId="8" type="noConversion"/>
  </si>
  <si>
    <t>剩余行动次数为1时可使用</t>
    <phoneticPr fontId="8" type="noConversion"/>
  </si>
  <si>
    <t>舔舐伤口</t>
    <phoneticPr fontId="8" type="noConversion"/>
  </si>
  <si>
    <t>清除自身3个异常状态，若清除数量不超过3个则每少1个给予1层武增1层力增1层巧增</t>
    <phoneticPr fontId="8" type="noConversion"/>
  </si>
  <si>
    <t>垂身喘息</t>
    <phoneticPr fontId="8" type="noConversion"/>
  </si>
  <si>
    <t>刚炁+100，随机获得5个键</t>
    <phoneticPr fontId="8" type="noConversion"/>
  </si>
  <si>
    <t>敌手因招式效果获得的炁-100，交锋失败则在下一息重复该招式</t>
    <phoneticPr fontId="8" type="noConversion"/>
  </si>
  <si>
    <t>蜷缩抽搐</t>
    <phoneticPr fontId="8" type="noConversion"/>
  </si>
  <si>
    <t>清除2个负面状态并获得10层避殃状态</t>
    <phoneticPr fontId="8" type="noConversion"/>
  </si>
  <si>
    <t>清除自身3个异常状态，若清除数量不超过3个则每少1个给予2层武增2层力增2层巧增</t>
    <phoneticPr fontId="8" type="noConversion"/>
  </si>
  <si>
    <t>炁脉涌动</t>
    <phoneticPr fontId="8" type="noConversion"/>
  </si>
  <si>
    <t>获得1层避殃状态，敌手因招式效果获得的炁-100，交锋失败则在下一息重复该招式</t>
    <phoneticPr fontId="8" type="noConversion"/>
  </si>
  <si>
    <t>施加3层龙腾状态</t>
    <phoneticPr fontId="8" type="noConversion"/>
  </si>
  <si>
    <t>清除1个异常状态，获得5层玄聚5层刚聚和3层迅速</t>
    <phoneticPr fontId="8" type="noConversion"/>
  </si>
  <si>
    <t>行动期间受到的伤害减少50%，本次行动延迟3息且不会被破招且持续到下个回合开始或下一次行动</t>
    <phoneticPr fontId="8" type="noConversion"/>
  </si>
  <si>
    <t>获得3个随机的键</t>
    <phoneticPr fontId="8" type="noConversion"/>
  </si>
  <si>
    <t>遮云手</t>
    <phoneticPr fontId="8" type="noConversion"/>
  </si>
  <si>
    <t>掩护我</t>
    <phoneticPr fontId="8" type="noConversion"/>
  </si>
  <si>
    <t>刚炁+5，玄炁+5</t>
    <phoneticPr fontId="8" type="noConversion"/>
  </si>
  <si>
    <t>将自身即将受到的敌方行动转移至目标友方</t>
    <phoneticPr fontId="8" type="noConversion"/>
  </si>
  <si>
    <t>水戈再起</t>
    <phoneticPr fontId="8" type="noConversion"/>
  </si>
  <si>
    <t>上次行动若交锋失败才可使用</t>
    <phoneticPr fontId="8" type="noConversion"/>
  </si>
  <si>
    <t>获得3层武增状态和3层力增状态，防+10，力+30</t>
    <phoneticPr fontId="8" type="noConversion"/>
  </si>
  <si>
    <t>获得50%力层的护体状态</t>
    <phoneticPr fontId="8" type="noConversion"/>
  </si>
  <si>
    <t>至少持有5层毒瘴状态才可使用</t>
    <phoneticPr fontId="8" type="noConversion"/>
  </si>
  <si>
    <t>本次行动不会被破招且持续到下次行动，下次行动决定后获得1次行动次数</t>
    <phoneticPr fontId="8" type="noConversion"/>
  </si>
  <si>
    <t>根据毒瘴状态层数获得增益（1：2次随机获得1层武增/术增/迅速/巧增），期间受到攻击减少2层毒瘴状态</t>
    <phoneticPr fontId="8" type="noConversion"/>
  </si>
  <si>
    <t>获得6次破招抵免，本次行动持续到下次行动</t>
    <phoneticPr fontId="8" type="noConversion"/>
  </si>
  <si>
    <t>直到下次行动前速固定为1，若期间未被破招则下次行动释放武杀式：撼地</t>
    <phoneticPr fontId="8" type="noConversion"/>
  </si>
  <si>
    <t>获得4次破招抵免，本次行动持续到下次行动</t>
    <phoneticPr fontId="8" type="noConversion"/>
  </si>
  <si>
    <t>基法</t>
    <phoneticPr fontId="8" type="noConversion"/>
  </si>
  <si>
    <t>→↑</t>
    <phoneticPr fontId="8" type="noConversion"/>
  </si>
  <si>
    <t>奇术</t>
    <phoneticPr fontId="8" type="noConversion"/>
  </si>
  <si>
    <t>杀伐技</t>
    <phoneticPr fontId="8" type="noConversion"/>
  </si>
  <si>
    <t>4,1,2</t>
    <phoneticPr fontId="8" type="noConversion"/>
  </si>
  <si>
    <t>4,1,2,2</t>
    <phoneticPr fontId="8" type="noConversion"/>
  </si>
  <si>
    <t>刚炁+10</t>
    <phoneticPr fontId="8" type="noConversion"/>
  </si>
  <si>
    <t>引炁为刃</t>
    <phoneticPr fontId="8" type="noConversion"/>
  </si>
  <si>
    <t>汇点一破</t>
    <phoneticPr fontId="8" type="noConversion"/>
  </si>
  <si>
    <t>绝玄戮命</t>
    <phoneticPr fontId="8" type="noConversion"/>
  </si>
  <si>
    <t>招式的玄炁消耗转为当前30%，至多30</t>
    <phoneticPr fontId="8" type="noConversion"/>
  </si>
  <si>
    <t>招式的玄炁消耗转为当前40%，至多40</t>
    <phoneticPr fontId="8" type="noConversion"/>
  </si>
  <si>
    <t>招式的玄炁消耗转为当前70%，至多70</t>
    <phoneticPr fontId="8" type="noConversion"/>
  </si>
  <si>
    <t>刚炁+当前30%（至少9）</t>
    <phoneticPr fontId="8" type="noConversion"/>
  </si>
  <si>
    <t>刚炁+当前40%（至少12）</t>
    <phoneticPr fontId="8" type="noConversion"/>
  </si>
  <si>
    <t>刚炁+当前70%（至少21）</t>
    <phoneticPr fontId="8" type="noConversion"/>
  </si>
  <si>
    <t>对目标造成115%技的伤害,命中施加3层术式禁</t>
    <phoneticPr fontId="8" type="noConversion"/>
  </si>
  <si>
    <t>黭幽幻</t>
    <phoneticPr fontId="8" type="noConversion"/>
  </si>
  <si>
    <t>2,4,3</t>
    <phoneticPr fontId="8" type="noConversion"/>
  </si>
  <si>
    <t>盗光</t>
    <phoneticPr fontId="8" type="noConversion"/>
  </si>
  <si>
    <t>获得2层缓速</t>
    <phoneticPr fontId="8" type="noConversion"/>
  </si>
  <si>
    <t>1,1,2,4</t>
    <phoneticPr fontId="8" type="noConversion"/>
  </si>
  <si>
    <t>若互为目标则窃取目标25%力在本回合</t>
    <phoneticPr fontId="8" type="noConversion"/>
  </si>
  <si>
    <t>刚炁+5</t>
    <phoneticPr fontId="8" type="noConversion"/>
  </si>
  <si>
    <t>贯日</t>
    <phoneticPr fontId="8" type="noConversion"/>
  </si>
  <si>
    <t>4,4,4</t>
    <phoneticPr fontId="8" type="noConversion"/>
  </si>
  <si>
    <t>每有一个键该招式威力增加5的百分比</t>
    <phoneticPr fontId="8" type="noConversion"/>
  </si>
  <si>
    <t>刚炁+30，消耗全部的键</t>
    <phoneticPr fontId="8" type="noConversion"/>
  </si>
  <si>
    <t>绝技·印月</t>
    <phoneticPr fontId="8" type="noConversion"/>
  </si>
  <si>
    <t>移阳秘术</t>
    <phoneticPr fontId="8" type="noConversion"/>
  </si>
  <si>
    <t>挪阴秘术</t>
    <phoneticPr fontId="8" type="noConversion"/>
  </si>
  <si>
    <t>卦引·天破</t>
    <phoneticPr fontId="8" type="noConversion"/>
  </si>
  <si>
    <t>卦引·尘灭</t>
    <phoneticPr fontId="8" type="noConversion"/>
  </si>
  <si>
    <t>卦引·雳诛</t>
    <phoneticPr fontId="8" type="noConversion"/>
  </si>
  <si>
    <t>卦引·岚萧</t>
    <phoneticPr fontId="8" type="noConversion"/>
  </si>
  <si>
    <t>卦引·焚眀</t>
    <phoneticPr fontId="8" type="noConversion"/>
  </si>
  <si>
    <t>卦引·泽网</t>
    <phoneticPr fontId="8" type="noConversion"/>
  </si>
  <si>
    <t>卦引·岳镇</t>
    <phoneticPr fontId="8" type="noConversion"/>
  </si>
  <si>
    <t>卦引·涛绝</t>
    <phoneticPr fontId="8" type="noConversion"/>
  </si>
  <si>
    <t>胡乱术法</t>
    <phoneticPr fontId="8" type="noConversion"/>
  </si>
  <si>
    <t>获得3层术衰</t>
    <phoneticPr fontId="8" type="noConversion"/>
  </si>
  <si>
    <t>对目标造成135%技的伤害，命中施加2层术衰</t>
    <phoneticPr fontId="8" type="noConversion"/>
  </si>
  <si>
    <t>摒杀</t>
    <phoneticPr fontId="8" type="noConversion"/>
  </si>
  <si>
    <t>对目标造成175%技的伤害，命中不会造成伤害而是施加死楔状态</t>
    <phoneticPr fontId="8" type="noConversion"/>
  </si>
  <si>
    <t>敷宵剑</t>
    <phoneticPr fontId="8" type="noConversion"/>
  </si>
  <si>
    <t>施力压迫</t>
    <phoneticPr fontId="8" type="noConversion"/>
  </si>
  <si>
    <t>对目标造成125%技的伤害，命中施加3层刚屏合3层玄屏</t>
    <phoneticPr fontId="8" type="noConversion"/>
  </si>
  <si>
    <t>若互为目标且目标未带有↓类留劲状态则本次行动不会被破招</t>
    <phoneticPr fontId="8" type="noConversion"/>
  </si>
  <si>
    <t>本次行动不会被未带有↓类留劲状态的敌手破招</t>
    <phoneticPr fontId="8" type="noConversion"/>
  </si>
  <si>
    <t>迭浪倾川</t>
    <phoneticPr fontId="8" type="noConversion"/>
  </si>
  <si>
    <t>施加3层术衰状态</t>
    <phoneticPr fontId="8" type="noConversion"/>
  </si>
  <si>
    <t>对目标造成110%技的伤害，命中施加1层僵硬</t>
    <phoneticPr fontId="8" type="noConversion"/>
  </si>
  <si>
    <t>若持有键超过3个则随机消耗3个键在下一息重复该行动</t>
    <phoneticPr fontId="8" type="noConversion"/>
  </si>
  <si>
    <t>尖啸</t>
    <phoneticPr fontId="8" type="noConversion"/>
  </si>
  <si>
    <t>对全部敌手造成100%技的伤害，命中减少其1个键</t>
    <phoneticPr fontId="8" type="noConversion"/>
  </si>
  <si>
    <t>在下一息重复该行动，至多重复2次</t>
    <phoneticPr fontId="8" type="noConversion"/>
  </si>
  <si>
    <t>森森邪气</t>
    <phoneticPr fontId="8" type="noConversion"/>
  </si>
  <si>
    <t>随机获得3个键</t>
    <phoneticPr fontId="8" type="noConversion"/>
  </si>
  <si>
    <t>抹残香</t>
    <phoneticPr fontId="8" type="noConversion"/>
  </si>
  <si>
    <t>对目标造成105%技的伤害，若命中时处于第一息则施加1层僵硬状态和2层破绽状态</t>
    <phoneticPr fontId="8" type="noConversion"/>
  </si>
  <si>
    <t>小雷令</t>
    <phoneticPr fontId="8" type="noConversion"/>
  </si>
  <si>
    <t>对目标造成105%技的伤害，命中时施加3层技衰状态</t>
    <phoneticPr fontId="8" type="noConversion"/>
  </si>
  <si>
    <t>玄炁+15</t>
    <phoneticPr fontId="8" type="noConversion"/>
  </si>
  <si>
    <t>燕子回梭</t>
    <phoneticPr fontId="8" type="noConversion"/>
  </si>
  <si>
    <t>本次行动加快1息</t>
    <phoneticPr fontId="8" type="noConversion"/>
  </si>
  <si>
    <t>对目标造成95%技的伤害，命中时施加1层缓速状态</t>
    <phoneticPr fontId="8" type="noConversion"/>
  </si>
  <si>
    <t>截斗运</t>
    <phoneticPr fontId="8" type="noConversion"/>
  </si>
  <si>
    <t>对目标造成125%技的伤害，命中时施加2层失持状态</t>
    <phoneticPr fontId="8" type="noConversion"/>
  </si>
  <si>
    <t>苍涛破岳</t>
    <phoneticPr fontId="8" type="noConversion"/>
  </si>
  <si>
    <t>撕裂魂魄</t>
    <phoneticPr fontId="8" type="noConversion"/>
  </si>
  <si>
    <t>玄炁消耗转为当前40%，本次行动加快1息</t>
    <phoneticPr fontId="8" type="noConversion"/>
  </si>
  <si>
    <t>对目标造成160%技的伤害，命中时施加5层玄屏状态，若目标为鬼怪则造成的伤害加倍且消耗其全部刚炁</t>
    <phoneticPr fontId="8" type="noConversion"/>
  </si>
  <si>
    <t>随机获得2个键</t>
    <phoneticPr fontId="8" type="noConversion"/>
  </si>
  <si>
    <t>红湃华雾</t>
    <phoneticPr fontId="8" type="noConversion"/>
  </si>
  <si>
    <t>刚炁+20，本回合下次术杀式威力增加15的百分比</t>
    <phoneticPr fontId="8" type="noConversion"/>
  </si>
  <si>
    <t>穿心煞</t>
    <phoneticPr fontId="8" type="noConversion"/>
  </si>
  <si>
    <t>招式的玄炁消耗转为当前60%，至多60</t>
    <phoneticPr fontId="8" type="noConversion"/>
  </si>
  <si>
    <t>对目标造成135%技的伤害，命中时施加3层寒沁状态</t>
    <phoneticPr fontId="8" type="noConversion"/>
  </si>
  <si>
    <t>野火</t>
    <phoneticPr fontId="8" type="noConversion"/>
  </si>
  <si>
    <t>对目标造成125%技的伤害，50%概率对自身造成30%技的伤害</t>
    <phoneticPr fontId="8" type="noConversion"/>
  </si>
  <si>
    <t>刚炁+25</t>
    <phoneticPr fontId="8" type="noConversion"/>
  </si>
  <si>
    <t>云螭一现</t>
    <phoneticPr fontId="8" type="noConversion"/>
  </si>
  <si>
    <t>招式的玄炁消耗转为当前70%，至多70，获得2层缓速</t>
    <phoneticPr fontId="8" type="noConversion"/>
  </si>
  <si>
    <t>施加2层刚屏</t>
    <phoneticPr fontId="8" type="noConversion"/>
  </si>
  <si>
    <t>对目标造成100%技的伤害，命中时施加2层刚屏且造成的伤害增加50%</t>
    <phoneticPr fontId="8" type="noConversion"/>
  </si>
  <si>
    <t>薄暗虹霓</t>
    <phoneticPr fontId="8" type="noConversion"/>
  </si>
  <si>
    <t>对目标造成125%技的伤害，命中时若目标的刚炁低于40则施加1层技式禁状态</t>
    <phoneticPr fontId="8" type="noConversion"/>
  </si>
  <si>
    <t>月升</t>
    <phoneticPr fontId="8" type="noConversion"/>
  </si>
  <si>
    <t>玄炁大于目标刚炁则威力增加10百分比</t>
    <phoneticPr fontId="8" type="noConversion"/>
  </si>
  <si>
    <t>净阳火</t>
    <phoneticPr fontId="8" type="noConversion"/>
  </si>
  <si>
    <t>招式的玄炁消耗转为当前50%，至多50</t>
    <phoneticPr fontId="8" type="noConversion"/>
  </si>
  <si>
    <t>若互为目标消耗双方10刚炁</t>
    <phoneticPr fontId="8" type="noConversion"/>
  </si>
  <si>
    <t>解术</t>
    <phoneticPr fontId="8" type="noConversion"/>
  </si>
  <si>
    <t>获得3层心眼</t>
    <phoneticPr fontId="8" type="noConversion"/>
  </si>
  <si>
    <t>霜连天</t>
    <phoneticPr fontId="8" type="noConversion"/>
  </si>
  <si>
    <t>施加3层玄屏状态</t>
    <phoneticPr fontId="8" type="noConversion"/>
  </si>
  <si>
    <t>残月分江</t>
    <phoneticPr fontId="8" type="noConversion"/>
  </si>
  <si>
    <t>招式的玄炁消耗转为当前90%，至多90</t>
    <phoneticPr fontId="8" type="noConversion"/>
  </si>
  <si>
    <t>对目标造成125%技的伤害，至少造成80%技的伤害时返还消耗的键</t>
    <phoneticPr fontId="8" type="noConversion"/>
  </si>
  <si>
    <t>重新在敌手中随机选择行动目标，本次行动加快1息或延迟1息，招式的玄炁消耗转为当前70%，至多70</t>
    <phoneticPr fontId="8" type="noConversion"/>
  </si>
  <si>
    <t>追魂破</t>
    <phoneticPr fontId="8" type="noConversion"/>
  </si>
  <si>
    <t>对目标造成140%技的伤害，命中时施加1层过劲状态</t>
    <phoneticPr fontId="8" type="noConversion"/>
  </si>
  <si>
    <t>送长离</t>
    <phoneticPr fontId="8" type="noConversion"/>
  </si>
  <si>
    <t>对目标造成130%技的伤害，命中时消耗目标剩余行动次数等量的键（至多2）</t>
    <phoneticPr fontId="8" type="noConversion"/>
  </si>
  <si>
    <t>过阴</t>
    <phoneticPr fontId="8" type="noConversion"/>
  </si>
  <si>
    <t>若处于祖化身状态刚炁消耗变为玄炁消耗</t>
    <phoneticPr fontId="8" type="noConversion"/>
  </si>
  <si>
    <t>下一次行动使用招式所需的玄炁消耗变为等量的刚炁消耗</t>
    <phoneticPr fontId="8" type="noConversion"/>
  </si>
  <si>
    <t>走旱势</t>
    <phoneticPr fontId="8" type="noConversion"/>
  </si>
  <si>
    <t>对目标造成125%技的伤害，命中时施加3层赤沸状态</t>
    <phoneticPr fontId="8" type="noConversion"/>
  </si>
  <si>
    <t>消耗目标25玄炁</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</si>
</sst>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10">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4">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1" fillId="0" borderId="0" xfId="0" applyFont="1" applyProtection="1">
      <alignment vertical="center"/>
      <protection locked="0"/>
    </xf>
    <xf numFmtId="0" fontId="1" fillId="2" borderId="0" xfId="0" applyFont="1" applyFill="1" applyProtection="1">
      <alignment vertical="center"/>
      <protection locked="0"/>
    </xf>
    <xf numFmtId="0" fontId="1" fillId="0" borderId="0" xfId="0" applyFont="1" applyAlignment="1">
      <alignment vertical="center" wrapText="1"/>
    </xf>
    <xf numFmtId="0" fontId="2" fillId="0" borderId="1" xfId="0" applyFont="1" applyBorder="1" applyAlignment="1">
      <alignment horizontal="left" vertical="center"/>
    </xf>
    <xf numFmtId="0" fontId="1" fillId="0" borderId="0" xfId="0" applyFont="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3" borderId="0" xfId="0" applyFill="1">
      <alignment vertical="center"/>
    </xf>
    <xf numFmtId="0" fontId="0" fillId="4" borderId="0" xfId="0" applyFill="1">
      <alignment vertical="center"/>
    </xf>
    <xf numFmtId="0" fontId="0" fillId="0" borderId="0" xfId="0" applyAlignment="1">
      <alignment horizontal="center" vertical="center"/>
    </xf>
    <xf numFmtId="0" fontId="0" fillId="5" borderId="0" xfId="0" applyFill="1">
      <alignment vertical="center"/>
    </xf>
    <xf numFmtId="0" fontId="0" fillId="6" borderId="0" xfId="0" applyFill="1">
      <alignment vertical="center"/>
    </xf>
    <xf numFmtId="0" fontId="3" fillId="0" borderId="0" xfId="0" applyFont="1">
      <alignment vertical="center"/>
    </xf>
    <xf numFmtId="0" fontId="2" fillId="0" borderId="1" xfId="0" applyFont="1" applyBorder="1" applyProtection="1">
      <alignment vertical="center"/>
      <protection locked="0"/>
    </xf>
    <xf numFmtId="0" fontId="1" fillId="7" borderId="0" xfId="0" applyFont="1" applyFill="1" applyProtection="1">
      <alignment vertical="center"/>
      <protection locked="0"/>
    </xf>
    <xf numFmtId="0" fontId="1" fillId="8" borderId="0" xfId="0" applyFont="1" applyFill="1" applyAlignment="1">
      <alignment vertical="center" wrapText="1"/>
    </xf>
    <xf numFmtId="0" fontId="1" fillId="9" borderId="0" xfId="0" applyFont="1" applyFill="1" applyProtection="1">
      <alignment vertical="center"/>
      <protection locked="0"/>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38"/>
  <sheetViews>
    <sheetView tabSelected="1" topLeftCell="A28" workbookViewId="0">
      <pane xSplit="2" topLeftCell="C1" activePane="topRight" state="frozen"/>
      <selection pane="topRight" activeCell="G31" sqref="G31"/>
    </sheetView>
  </sheetViews>
  <sheetFormatPr defaultColWidth="9" defaultRowHeight="16.5" x14ac:dyDescent="0.15"/>
  <cols>
    <col min="1" max="1" width="6.25" style="5" customWidth="1"/>
    <col min="2" max="2" width="11.875" style="5" customWidth="1"/>
    <col min="3" max="3" width="9" style="1"/>
    <col min="4" max="4" width="17.625" style="1" hidden="1" customWidth="1"/>
    <col min="5" max="5" width="36.625" style="7" customWidth="1"/>
    <col min="6" max="6" width="17.125" style="7" hidden="1" customWidth="1"/>
    <col min="7" max="7" width="46.875" style="7" customWidth="1"/>
    <col min="8" max="8" width="18.125" style="7" hidden="1" customWidth="1"/>
    <col min="9" max="9" width="46.875" style="7" customWidth="1"/>
    <col min="10" max="10" width="14.375" style="7" hidden="1" customWidth="1"/>
    <col min="11" max="11" width="42.75" style="7" customWidth="1"/>
    <col min="12" max="12" width="15.875" style="7" hidden="1" customWidth="1"/>
    <col min="13" max="13" width="42.75" style="7" customWidth="1"/>
    <col min="14" max="16" width="9" style="1"/>
    <col min="17" max="17" width="9" style="9"/>
    <col min="18" max="23" width="9" style="1"/>
    <col min="24" max="24" width="8.625" style="1" customWidth="1"/>
    <col min="25" max="25" width="13.5" style="1" customWidth="1"/>
    <col min="26" max="16384" width="9" style="1"/>
  </cols>
  <sheetData>
    <row r="1" spans="1:28" ht="15.95" customHeight="1" x14ac:dyDescent="0.15">
      <c r="A1" s="18" t="s">
        <v>0</v>
      </c>
      <c r="B1" s="18"/>
      <c r="C1" s="2" t="s">
        <v>1</v>
      </c>
      <c r="D1" s="3" t="s">
        <v>2</v>
      </c>
      <c r="E1" s="1"/>
      <c r="F1" s="2" t="s">
        <v>3</v>
      </c>
      <c r="G1" s="3"/>
      <c r="H1" s="3" t="s">
        <v>4</v>
      </c>
      <c r="I1" s="3"/>
      <c r="J1" s="3" t="s">
        <v>5</v>
      </c>
      <c r="K1" s="1"/>
      <c r="L1" s="4" t="s">
        <v>6</v>
      </c>
      <c r="M1" s="1"/>
      <c r="N1" s="2" t="s">
        <v>7</v>
      </c>
      <c r="O1" s="2" t="s">
        <v>8</v>
      </c>
      <c r="P1" s="2"/>
      <c r="Q1" s="8" t="s">
        <v>9</v>
      </c>
      <c r="R1" s="2" t="s">
        <v>10</v>
      </c>
      <c r="S1" s="2" t="s">
        <v>11</v>
      </c>
      <c r="T1" s="3" t="s">
        <v>12</v>
      </c>
      <c r="U1" s="2" t="s">
        <v>13</v>
      </c>
      <c r="V1" s="2"/>
      <c r="W1" s="3" t="s">
        <v>14</v>
      </c>
      <c r="X1" s="2" t="s">
        <v>15</v>
      </c>
      <c r="Y1" s="3" t="s">
        <v>16</v>
      </c>
      <c r="Z1" s="2" t="s">
        <v>17</v>
      </c>
      <c r="AA1" s="3" t="s">
        <v>18</v>
      </c>
      <c r="AB1" s="2"/>
    </row>
    <row r="2" spans="1:28" x14ac:dyDescent="0.15">
      <c r="A2" s="18" t="s">
        <v>19</v>
      </c>
      <c r="B2" s="18" t="s">
        <v>20</v>
      </c>
      <c r="C2" s="2" t="s">
        <v>21</v>
      </c>
      <c r="D2" s="4" t="s">
        <v>22</v>
      </c>
      <c r="E2" s="3" t="s">
        <v>23</v>
      </c>
      <c r="F2" s="3" t="s">
        <v>24</v>
      </c>
      <c r="G2" s="3" t="s">
        <v>25</v>
      </c>
      <c r="H2" s="3" t="s">
        <v>26</v>
      </c>
      <c r="I2" s="3" t="s">
        <v>27</v>
      </c>
      <c r="J2" s="3" t="s">
        <v>28</v>
      </c>
      <c r="K2" s="3" t="s">
        <v>29</v>
      </c>
      <c r="L2" s="3" t="s">
        <v>30</v>
      </c>
      <c r="M2" s="3" t="s">
        <v>31</v>
      </c>
      <c r="N2" s="2" t="s">
        <v>32</v>
      </c>
      <c r="O2" s="2"/>
      <c r="P2" s="2" t="s">
        <v>33</v>
      </c>
      <c r="Q2" s="8" t="s">
        <v>34</v>
      </c>
      <c r="R2" s="2" t="s">
        <v>35</v>
      </c>
      <c r="S2" s="2" t="s">
        <v>36</v>
      </c>
      <c r="T2" s="2" t="s">
        <v>37</v>
      </c>
      <c r="U2" s="2" t="s">
        <v>38</v>
      </c>
      <c r="V2" s="2" t="s">
        <v>39</v>
      </c>
      <c r="W2" s="3"/>
      <c r="X2" s="2"/>
      <c r="Y2" s="3" t="s">
        <v>40</v>
      </c>
      <c r="Z2" s="2" t="s">
        <v>41</v>
      </c>
      <c r="AA2" s="3"/>
      <c r="AB2" s="2"/>
    </row>
    <row r="3" spans="1:28" x14ac:dyDescent="0.15">
      <c r="A3" s="18" t="s">
        <v>42</v>
      </c>
      <c r="B3" s="18"/>
      <c r="C3" s="2" t="s">
        <v>42</v>
      </c>
      <c r="D3" s="3" t="s">
        <v>43</v>
      </c>
      <c r="E3" s="2"/>
      <c r="F3" s="3" t="s">
        <v>43</v>
      </c>
      <c r="G3" s="2"/>
      <c r="H3" s="3" t="s">
        <v>43</v>
      </c>
      <c r="I3" s="2"/>
      <c r="J3" s="3" t="s">
        <v>43</v>
      </c>
      <c r="K3" s="3"/>
      <c r="L3" s="3" t="s">
        <v>43</v>
      </c>
      <c r="M3" s="3"/>
      <c r="N3" s="2" t="s">
        <v>42</v>
      </c>
      <c r="O3" s="2" t="s">
        <v>42</v>
      </c>
      <c r="P3" s="2"/>
      <c r="Q3" s="8" t="s">
        <v>43</v>
      </c>
      <c r="R3" s="2" t="s">
        <v>42</v>
      </c>
      <c r="S3" s="2" t="s">
        <v>42</v>
      </c>
      <c r="T3" s="2" t="s">
        <v>42</v>
      </c>
      <c r="U3" s="2" t="s">
        <v>43</v>
      </c>
      <c r="V3" s="2"/>
      <c r="W3" s="3"/>
      <c r="X3" s="2"/>
      <c r="Y3" s="3"/>
      <c r="Z3" s="2"/>
      <c r="AA3" s="3"/>
      <c r="AB3" s="2"/>
    </row>
    <row r="4" spans="1:28" ht="33" x14ac:dyDescent="0.15">
      <c r="A4" s="5">
        <v>11001</v>
      </c>
      <c r="B4" s="6" t="s">
        <v>44</v>
      </c>
      <c r="C4" s="1">
        <v>1</v>
      </c>
      <c r="E4" s="7" t="s">
        <v>875</v>
      </c>
      <c r="I4" s="7" t="s">
        <v>46</v>
      </c>
      <c r="K4" s="7" t="s">
        <v>47</v>
      </c>
      <c r="N4" s="1">
        <v>1</v>
      </c>
      <c r="O4" s="1">
        <v>3</v>
      </c>
      <c r="P4" s="1" t="s">
        <v>48</v>
      </c>
      <c r="Q4" s="9" t="s">
        <v>49</v>
      </c>
      <c r="R4" s="1">
        <v>1</v>
      </c>
      <c r="U4" s="1">
        <v>20202</v>
      </c>
      <c r="V4" s="1" t="s">
        <v>50</v>
      </c>
      <c r="Z4" s="1">
        <v>1</v>
      </c>
    </row>
    <row r="5" spans="1:28" x14ac:dyDescent="0.15">
      <c r="A5" s="5">
        <v>11002</v>
      </c>
      <c r="B5" s="6" t="s">
        <v>51</v>
      </c>
      <c r="C5" s="1">
        <v>1</v>
      </c>
      <c r="E5" s="7" t="s">
        <v>52</v>
      </c>
      <c r="G5" s="7" t="s">
        <v>53</v>
      </c>
      <c r="K5" s="7" t="s">
        <v>47</v>
      </c>
      <c r="N5" s="1">
        <v>1</v>
      </c>
      <c r="O5" s="1">
        <v>7</v>
      </c>
      <c r="P5" s="1" t="s">
        <v>54</v>
      </c>
      <c r="Q5" s="9" t="s">
        <v>55</v>
      </c>
      <c r="R5" s="1">
        <v>1</v>
      </c>
      <c r="S5" s="1">
        <v>8</v>
      </c>
      <c r="T5" s="1">
        <v>8</v>
      </c>
      <c r="U5" s="1">
        <v>20301</v>
      </c>
      <c r="V5" s="1" t="s">
        <v>56</v>
      </c>
      <c r="Z5" s="1">
        <v>1</v>
      </c>
    </row>
    <row r="6" spans="1:28" x14ac:dyDescent="0.15">
      <c r="A6" s="5">
        <v>11003</v>
      </c>
      <c r="B6" s="6" t="s">
        <v>57</v>
      </c>
      <c r="C6" s="1">
        <v>1</v>
      </c>
      <c r="E6" s="7" t="s">
        <v>58</v>
      </c>
      <c r="I6" s="7" t="s">
        <v>874</v>
      </c>
      <c r="N6" s="1">
        <v>1</v>
      </c>
      <c r="O6" s="1">
        <v>3</v>
      </c>
      <c r="P6" s="1" t="s">
        <v>59</v>
      </c>
      <c r="Q6" s="9" t="s">
        <v>60</v>
      </c>
      <c r="R6" s="1">
        <v>1</v>
      </c>
      <c r="U6" s="1">
        <v>20201</v>
      </c>
      <c r="V6" s="1" t="s">
        <v>61</v>
      </c>
      <c r="Z6" s="1">
        <v>1</v>
      </c>
    </row>
    <row r="7" spans="1:28" ht="33" x14ac:dyDescent="0.15">
      <c r="A7" s="5">
        <v>11004</v>
      </c>
      <c r="B7" s="6" t="s">
        <v>876</v>
      </c>
      <c r="C7" s="1">
        <v>1</v>
      </c>
      <c r="E7" s="7" t="s">
        <v>62</v>
      </c>
      <c r="I7" s="7" t="s">
        <v>878</v>
      </c>
      <c r="K7" s="7" t="s">
        <v>884</v>
      </c>
      <c r="N7" s="1">
        <v>1</v>
      </c>
      <c r="O7" s="1">
        <v>4</v>
      </c>
      <c r="P7" s="1" t="s">
        <v>63</v>
      </c>
      <c r="Q7" s="9" t="s">
        <v>877</v>
      </c>
      <c r="R7" s="1">
        <v>1</v>
      </c>
      <c r="U7" s="1">
        <v>20404</v>
      </c>
      <c r="V7" s="1" t="s">
        <v>64</v>
      </c>
      <c r="Z7" s="1">
        <v>1</v>
      </c>
    </row>
    <row r="8" spans="1:28" ht="33" x14ac:dyDescent="0.15">
      <c r="A8" s="5">
        <v>11005</v>
      </c>
      <c r="B8" s="6" t="s">
        <v>879</v>
      </c>
      <c r="C8" s="1">
        <v>1</v>
      </c>
      <c r="E8" s="7" t="s">
        <v>65</v>
      </c>
      <c r="I8" s="7" t="s">
        <v>46</v>
      </c>
      <c r="K8" s="7" t="s">
        <v>885</v>
      </c>
      <c r="N8" s="1">
        <v>1</v>
      </c>
      <c r="O8" s="1">
        <v>2</v>
      </c>
      <c r="P8" s="1" t="s">
        <v>66</v>
      </c>
      <c r="Q8" s="9" t="s">
        <v>67</v>
      </c>
      <c r="R8" s="1">
        <v>1</v>
      </c>
      <c r="U8" s="1">
        <v>20101</v>
      </c>
      <c r="V8" s="1" t="s">
        <v>68</v>
      </c>
      <c r="Z8" s="1">
        <v>1</v>
      </c>
    </row>
    <row r="9" spans="1:28" x14ac:dyDescent="0.15">
      <c r="A9" s="5">
        <v>11006</v>
      </c>
      <c r="B9" s="6" t="s">
        <v>880</v>
      </c>
      <c r="C9" s="1">
        <v>1</v>
      </c>
      <c r="E9" s="7" t="s">
        <v>882</v>
      </c>
      <c r="G9" s="1" t="s">
        <v>883</v>
      </c>
      <c r="H9" s="1"/>
      <c r="I9" s="1"/>
      <c r="K9" s="7" t="s">
        <v>886</v>
      </c>
      <c r="M9" s="7" t="s">
        <v>69</v>
      </c>
      <c r="N9" s="1">
        <v>1</v>
      </c>
      <c r="O9" s="1">
        <v>2</v>
      </c>
      <c r="P9" s="1" t="s">
        <v>70</v>
      </c>
      <c r="Q9" s="9" t="s">
        <v>881</v>
      </c>
      <c r="R9" s="1">
        <v>1</v>
      </c>
      <c r="S9" s="1">
        <v>25</v>
      </c>
      <c r="U9" s="1">
        <v>20201</v>
      </c>
      <c r="V9" s="1" t="s">
        <v>61</v>
      </c>
      <c r="Z9" s="1">
        <v>1</v>
      </c>
    </row>
    <row r="10" spans="1:28" x14ac:dyDescent="0.15">
      <c r="A10" s="5">
        <v>11007</v>
      </c>
      <c r="B10" s="6" t="s">
        <v>887</v>
      </c>
      <c r="C10" s="1">
        <v>1</v>
      </c>
      <c r="E10" s="7" t="s">
        <v>71</v>
      </c>
      <c r="G10" s="7" t="s">
        <v>889</v>
      </c>
      <c r="K10" s="7" t="s">
        <v>890</v>
      </c>
      <c r="N10" s="1">
        <v>6</v>
      </c>
      <c r="O10" s="1">
        <v>10</v>
      </c>
      <c r="P10" s="1" t="s">
        <v>72</v>
      </c>
      <c r="Q10" s="9" t="s">
        <v>888</v>
      </c>
      <c r="R10" s="1">
        <v>2</v>
      </c>
      <c r="S10" s="1">
        <v>20</v>
      </c>
      <c r="U10" s="1">
        <v>20303</v>
      </c>
      <c r="V10" s="1" t="s">
        <v>73</v>
      </c>
      <c r="Z10" s="1">
        <v>1</v>
      </c>
    </row>
    <row r="11" spans="1:28" x14ac:dyDescent="0.15">
      <c r="A11" s="5">
        <v>11008</v>
      </c>
      <c r="B11" s="6" t="s">
        <v>891</v>
      </c>
      <c r="C11" s="1">
        <v>1</v>
      </c>
      <c r="E11" s="7" t="s">
        <v>74</v>
      </c>
      <c r="G11" s="7" t="s">
        <v>893</v>
      </c>
      <c r="K11" s="7" t="s">
        <v>894</v>
      </c>
      <c r="N11" s="1">
        <v>4</v>
      </c>
      <c r="O11" s="1">
        <v>8</v>
      </c>
      <c r="P11" s="1" t="s">
        <v>75</v>
      </c>
      <c r="Q11" s="9" t="s">
        <v>892</v>
      </c>
      <c r="R11" s="1">
        <v>1</v>
      </c>
      <c r="S11" s="1">
        <v>20</v>
      </c>
      <c r="U11" s="1">
        <v>20305</v>
      </c>
      <c r="V11" s="1" t="s">
        <v>76</v>
      </c>
      <c r="Z11" s="1">
        <v>1</v>
      </c>
    </row>
    <row r="12" spans="1:28" x14ac:dyDescent="0.15">
      <c r="A12" s="5">
        <v>11009</v>
      </c>
      <c r="B12" s="6" t="s">
        <v>895</v>
      </c>
      <c r="C12" s="1">
        <v>1</v>
      </c>
      <c r="G12" s="7" t="s">
        <v>897</v>
      </c>
      <c r="N12" s="1">
        <v>1</v>
      </c>
      <c r="O12" s="1">
        <v>5</v>
      </c>
      <c r="P12" s="1" t="s">
        <v>77</v>
      </c>
      <c r="Q12" s="9" t="s">
        <v>896</v>
      </c>
      <c r="R12" s="1">
        <v>1</v>
      </c>
      <c r="U12" s="1">
        <v>20101</v>
      </c>
      <c r="V12" s="1" t="s">
        <v>68</v>
      </c>
      <c r="Z12" s="1">
        <v>1</v>
      </c>
    </row>
    <row r="13" spans="1:28" x14ac:dyDescent="0.15">
      <c r="A13" s="5">
        <v>11010</v>
      </c>
      <c r="B13" s="6" t="s">
        <v>898</v>
      </c>
      <c r="C13" s="1">
        <v>1</v>
      </c>
      <c r="E13" s="7" t="s">
        <v>78</v>
      </c>
      <c r="G13" s="7" t="s">
        <v>902</v>
      </c>
      <c r="K13" s="7" t="s">
        <v>904</v>
      </c>
      <c r="N13" s="1">
        <v>1</v>
      </c>
      <c r="O13" s="1">
        <v>8</v>
      </c>
      <c r="P13" s="1" t="s">
        <v>79</v>
      </c>
      <c r="Q13" s="9" t="s">
        <v>900</v>
      </c>
      <c r="R13" s="1">
        <v>1</v>
      </c>
      <c r="S13" s="1">
        <v>20</v>
      </c>
      <c r="U13" s="1">
        <v>20201</v>
      </c>
      <c r="V13" s="1" t="s">
        <v>61</v>
      </c>
      <c r="Z13" s="1">
        <v>1</v>
      </c>
    </row>
    <row r="14" spans="1:28" x14ac:dyDescent="0.15">
      <c r="A14" s="5">
        <v>11011</v>
      </c>
      <c r="B14" s="6" t="s">
        <v>899</v>
      </c>
      <c r="C14" s="1">
        <v>1</v>
      </c>
      <c r="E14" s="7" t="s">
        <v>78</v>
      </c>
      <c r="G14" s="7" t="s">
        <v>903</v>
      </c>
      <c r="K14" s="7" t="s">
        <v>905</v>
      </c>
      <c r="N14" s="1">
        <v>1</v>
      </c>
      <c r="O14" s="1">
        <v>8</v>
      </c>
      <c r="P14" s="1" t="s">
        <v>81</v>
      </c>
      <c r="Q14" s="9" t="s">
        <v>901</v>
      </c>
      <c r="R14" s="1">
        <v>1</v>
      </c>
      <c r="T14" s="1">
        <v>20</v>
      </c>
      <c r="U14" s="1">
        <v>20201</v>
      </c>
      <c r="V14" s="1" t="s">
        <v>61</v>
      </c>
      <c r="Z14" s="1">
        <v>1</v>
      </c>
    </row>
    <row r="15" spans="1:28" x14ac:dyDescent="0.15">
      <c r="A15" s="5">
        <v>11012</v>
      </c>
      <c r="B15" s="6" t="s">
        <v>906</v>
      </c>
      <c r="C15" s="1">
        <v>1</v>
      </c>
      <c r="G15" s="7" t="s">
        <v>908</v>
      </c>
      <c r="K15" s="7" t="s">
        <v>909</v>
      </c>
      <c r="N15" s="1">
        <v>2</v>
      </c>
      <c r="O15" s="1">
        <v>9</v>
      </c>
      <c r="P15" s="1" t="s">
        <v>82</v>
      </c>
      <c r="Q15" s="9" t="s">
        <v>907</v>
      </c>
      <c r="R15" s="1">
        <v>1</v>
      </c>
      <c r="S15" s="1">
        <v>30</v>
      </c>
      <c r="U15" s="1">
        <v>20306</v>
      </c>
      <c r="V15" s="1" t="s">
        <v>83</v>
      </c>
      <c r="Z15" s="1">
        <v>1</v>
      </c>
    </row>
    <row r="16" spans="1:28" x14ac:dyDescent="0.15">
      <c r="A16" s="5">
        <v>11013</v>
      </c>
      <c r="B16" s="6" t="s">
        <v>910</v>
      </c>
      <c r="C16" s="1">
        <v>1</v>
      </c>
      <c r="E16" s="7" t="s">
        <v>84</v>
      </c>
      <c r="G16" s="7" t="s">
        <v>85</v>
      </c>
      <c r="N16" s="1">
        <v>1</v>
      </c>
      <c r="O16" s="1">
        <v>0</v>
      </c>
      <c r="P16" s="1" t="s">
        <v>86</v>
      </c>
      <c r="Q16" s="9">
        <v>3</v>
      </c>
      <c r="R16" s="1">
        <v>1</v>
      </c>
      <c r="U16" s="1">
        <v>20101</v>
      </c>
      <c r="V16" s="1" t="s">
        <v>68</v>
      </c>
      <c r="Z16" s="1">
        <v>1</v>
      </c>
    </row>
    <row r="17" spans="1:26" x14ac:dyDescent="0.15">
      <c r="A17" s="5">
        <v>11014</v>
      </c>
      <c r="B17" s="6" t="s">
        <v>912</v>
      </c>
      <c r="C17" s="1">
        <v>1</v>
      </c>
      <c r="E17" s="7" t="s">
        <v>915</v>
      </c>
      <c r="G17" s="1" t="s">
        <v>911</v>
      </c>
      <c r="H17" s="1"/>
      <c r="I17" s="1"/>
      <c r="K17" s="7" t="s">
        <v>87</v>
      </c>
      <c r="N17" s="1">
        <v>4</v>
      </c>
      <c r="O17" s="1">
        <v>5</v>
      </c>
      <c r="P17" s="1" t="s">
        <v>88</v>
      </c>
      <c r="Q17" s="9" t="s">
        <v>913</v>
      </c>
      <c r="R17" s="1">
        <v>1</v>
      </c>
      <c r="T17" s="1">
        <v>25</v>
      </c>
      <c r="U17" s="1">
        <v>20404</v>
      </c>
      <c r="V17" s="1" t="s">
        <v>64</v>
      </c>
      <c r="Z17" s="1">
        <v>1</v>
      </c>
    </row>
    <row r="18" spans="1:26" x14ac:dyDescent="0.15">
      <c r="A18" s="5">
        <v>11015</v>
      </c>
      <c r="B18" s="6" t="s">
        <v>916</v>
      </c>
      <c r="C18" s="1">
        <v>1</v>
      </c>
      <c r="E18" s="7" t="s">
        <v>918</v>
      </c>
      <c r="G18" s="7" t="s">
        <v>919</v>
      </c>
      <c r="H18" s="1"/>
      <c r="I18" s="1"/>
      <c r="K18" s="7" t="s">
        <v>920</v>
      </c>
      <c r="N18" s="1">
        <v>1</v>
      </c>
      <c r="O18" s="1">
        <v>5</v>
      </c>
      <c r="P18" s="1" t="s">
        <v>89</v>
      </c>
      <c r="Q18" s="9" t="s">
        <v>917</v>
      </c>
      <c r="R18" s="1">
        <v>1</v>
      </c>
      <c r="S18" s="1">
        <v>45</v>
      </c>
      <c r="U18" s="1">
        <v>20305</v>
      </c>
      <c r="V18" s="1" t="s">
        <v>76</v>
      </c>
      <c r="Z18" s="1">
        <v>1</v>
      </c>
    </row>
    <row r="19" spans="1:26" x14ac:dyDescent="0.15">
      <c r="A19" s="5">
        <v>11016</v>
      </c>
      <c r="B19" s="6" t="s">
        <v>921</v>
      </c>
      <c r="C19" s="1">
        <v>1</v>
      </c>
      <c r="E19" s="7" t="s">
        <v>914</v>
      </c>
      <c r="G19" s="1" t="s">
        <v>923</v>
      </c>
      <c r="H19" s="1"/>
      <c r="I19" s="1"/>
      <c r="K19" s="7" t="s">
        <v>924</v>
      </c>
      <c r="N19" s="1">
        <v>2</v>
      </c>
      <c r="O19" s="1">
        <v>4</v>
      </c>
      <c r="P19" s="1" t="s">
        <v>90</v>
      </c>
      <c r="Q19" s="9" t="s">
        <v>922</v>
      </c>
      <c r="R19" s="1">
        <v>1</v>
      </c>
      <c r="T19" s="1">
        <v>35</v>
      </c>
      <c r="U19" s="1">
        <v>20305</v>
      </c>
      <c r="V19" s="1" t="s">
        <v>76</v>
      </c>
      <c r="Z19" s="1">
        <v>1</v>
      </c>
    </row>
    <row r="20" spans="1:26" ht="33" x14ac:dyDescent="0.15">
      <c r="A20" s="5">
        <v>11017</v>
      </c>
      <c r="B20" s="6" t="s">
        <v>925</v>
      </c>
      <c r="C20" s="1">
        <v>1</v>
      </c>
      <c r="G20" s="1" t="s">
        <v>927</v>
      </c>
      <c r="H20" s="1"/>
      <c r="I20" s="1"/>
      <c r="K20" s="7" t="s">
        <v>928</v>
      </c>
      <c r="N20" s="1">
        <v>1</v>
      </c>
      <c r="O20" s="1">
        <v>3</v>
      </c>
      <c r="P20" s="1" t="s">
        <v>91</v>
      </c>
      <c r="Q20" s="9" t="s">
        <v>926</v>
      </c>
      <c r="R20" s="1">
        <v>1</v>
      </c>
      <c r="S20" s="1">
        <v>30</v>
      </c>
      <c r="U20" s="1">
        <v>20201</v>
      </c>
      <c r="V20" s="1" t="s">
        <v>61</v>
      </c>
      <c r="Z20" s="1">
        <v>1</v>
      </c>
    </row>
    <row r="21" spans="1:26" x14ac:dyDescent="0.15">
      <c r="A21" s="5">
        <v>11018</v>
      </c>
      <c r="B21" s="6" t="s">
        <v>92</v>
      </c>
      <c r="C21" s="1">
        <v>1</v>
      </c>
      <c r="E21" s="7" t="s">
        <v>930</v>
      </c>
      <c r="G21" s="1" t="s">
        <v>931</v>
      </c>
      <c r="H21" s="1"/>
      <c r="I21" s="1"/>
      <c r="K21" s="7" t="s">
        <v>932</v>
      </c>
      <c r="N21" s="1" t="s">
        <v>94</v>
      </c>
      <c r="O21" s="1">
        <v>99</v>
      </c>
      <c r="P21" s="1" t="s">
        <v>95</v>
      </c>
      <c r="Q21" s="9" t="s">
        <v>929</v>
      </c>
      <c r="R21" s="1">
        <v>1</v>
      </c>
      <c r="U21" s="1">
        <v>20001</v>
      </c>
      <c r="V21" s="1" t="s">
        <v>97</v>
      </c>
      <c r="Z21" s="1">
        <v>0</v>
      </c>
    </row>
    <row r="22" spans="1:26" x14ac:dyDescent="0.15">
      <c r="A22" s="5">
        <v>11019</v>
      </c>
      <c r="B22" s="6" t="s">
        <v>92</v>
      </c>
      <c r="C22" s="1">
        <v>1</v>
      </c>
      <c r="E22" s="7" t="s">
        <v>93</v>
      </c>
      <c r="G22" s="1" t="s">
        <v>98</v>
      </c>
      <c r="H22" s="1"/>
      <c r="I22" s="1"/>
      <c r="K22" s="7" t="s">
        <v>99</v>
      </c>
      <c r="N22" s="1" t="s">
        <v>94</v>
      </c>
      <c r="O22" s="1">
        <v>99</v>
      </c>
      <c r="P22" s="1" t="s">
        <v>95</v>
      </c>
      <c r="Q22" s="9" t="s">
        <v>96</v>
      </c>
      <c r="R22" s="1">
        <v>1</v>
      </c>
      <c r="U22" s="1">
        <v>20001</v>
      </c>
      <c r="V22" s="1" t="s">
        <v>97</v>
      </c>
      <c r="Z22" s="1">
        <v>0</v>
      </c>
    </row>
    <row r="23" spans="1:26" x14ac:dyDescent="0.15">
      <c r="A23" s="5">
        <v>11020</v>
      </c>
      <c r="B23" s="6" t="s">
        <v>933</v>
      </c>
      <c r="C23" s="1">
        <v>1</v>
      </c>
      <c r="E23" s="7" t="s">
        <v>934</v>
      </c>
      <c r="G23" s="1" t="s">
        <v>935</v>
      </c>
      <c r="H23" s="1"/>
      <c r="I23" s="1"/>
      <c r="K23" s="7" t="s">
        <v>936</v>
      </c>
      <c r="N23" s="1" t="s">
        <v>94</v>
      </c>
      <c r="O23" s="1">
        <v>99</v>
      </c>
      <c r="P23" s="1" t="s">
        <v>103</v>
      </c>
      <c r="Q23" s="9" t="s">
        <v>104</v>
      </c>
      <c r="R23" s="1">
        <v>1</v>
      </c>
      <c r="T23" s="1">
        <v>5000</v>
      </c>
      <c r="U23" s="1">
        <v>20001</v>
      </c>
      <c r="V23" s="1" t="s">
        <v>97</v>
      </c>
      <c r="Z23" s="1">
        <v>0</v>
      </c>
    </row>
    <row r="24" spans="1:26" x14ac:dyDescent="0.15">
      <c r="A24" s="5">
        <v>11021</v>
      </c>
      <c r="B24" s="6" t="s">
        <v>937</v>
      </c>
      <c r="C24" s="1">
        <v>1</v>
      </c>
      <c r="E24" s="7" t="s">
        <v>939</v>
      </c>
      <c r="G24" s="1" t="s">
        <v>940</v>
      </c>
      <c r="H24" s="1"/>
      <c r="I24" s="1"/>
      <c r="N24" s="1">
        <v>5</v>
      </c>
      <c r="O24" s="1">
        <v>3</v>
      </c>
      <c r="P24" s="1" t="s">
        <v>106</v>
      </c>
      <c r="Q24" s="9" t="s">
        <v>938</v>
      </c>
      <c r="R24" s="1">
        <v>1</v>
      </c>
      <c r="T24" s="1">
        <v>20</v>
      </c>
      <c r="U24" s="1">
        <v>20301</v>
      </c>
      <c r="V24" s="1" t="s">
        <v>56</v>
      </c>
      <c r="Z24" s="1">
        <v>1</v>
      </c>
    </row>
    <row r="25" spans="1:26" x14ac:dyDescent="0.15">
      <c r="A25" s="5">
        <v>11022</v>
      </c>
      <c r="B25" s="6" t="s">
        <v>100</v>
      </c>
      <c r="C25" s="1">
        <v>1</v>
      </c>
      <c r="E25" s="7" t="s">
        <v>101</v>
      </c>
      <c r="G25" s="1" t="s">
        <v>102</v>
      </c>
      <c r="H25" s="1"/>
      <c r="I25" s="1"/>
      <c r="K25" s="7" t="s">
        <v>941</v>
      </c>
      <c r="N25" s="1" t="s">
        <v>94</v>
      </c>
      <c r="O25" s="1">
        <v>99</v>
      </c>
      <c r="P25" s="1" t="s">
        <v>103</v>
      </c>
      <c r="Q25" s="9" t="s">
        <v>104</v>
      </c>
      <c r="R25" s="1">
        <v>1</v>
      </c>
      <c r="T25" s="1">
        <v>5000</v>
      </c>
      <c r="U25" s="1">
        <v>20001</v>
      </c>
      <c r="V25" s="1" t="s">
        <v>97</v>
      </c>
      <c r="Z25" s="1">
        <v>0</v>
      </c>
    </row>
    <row r="26" spans="1:26" ht="33" x14ac:dyDescent="0.15">
      <c r="A26" s="5">
        <v>11023</v>
      </c>
      <c r="B26" s="19" t="s">
        <v>942</v>
      </c>
      <c r="C26" s="1">
        <v>1</v>
      </c>
      <c r="E26" s="7" t="s">
        <v>107</v>
      </c>
      <c r="G26" s="1"/>
      <c r="H26" s="1"/>
      <c r="I26" s="1" t="s">
        <v>944</v>
      </c>
      <c r="K26" s="7" t="s">
        <v>885</v>
      </c>
      <c r="N26" s="1">
        <v>1</v>
      </c>
      <c r="O26" s="1">
        <v>4</v>
      </c>
      <c r="P26" s="1" t="s">
        <v>108</v>
      </c>
      <c r="Q26" s="9" t="s">
        <v>943</v>
      </c>
      <c r="R26" s="1">
        <v>1</v>
      </c>
      <c r="U26" s="1">
        <v>20301</v>
      </c>
      <c r="V26" s="1" t="s">
        <v>56</v>
      </c>
      <c r="Z26" s="1">
        <v>1</v>
      </c>
    </row>
    <row r="27" spans="1:26" ht="33" x14ac:dyDescent="0.15">
      <c r="A27" s="5">
        <v>11024</v>
      </c>
      <c r="B27" s="19" t="s">
        <v>945</v>
      </c>
      <c r="C27" s="1">
        <v>1</v>
      </c>
      <c r="E27" s="7" t="s">
        <v>110</v>
      </c>
      <c r="G27" s="1" t="s">
        <v>111</v>
      </c>
      <c r="H27" s="1"/>
      <c r="I27" s="1"/>
      <c r="K27" s="7" t="s">
        <v>112</v>
      </c>
      <c r="N27" s="1">
        <v>2</v>
      </c>
      <c r="P27" s="1" t="s">
        <v>113</v>
      </c>
      <c r="Q27" s="9" t="s">
        <v>946</v>
      </c>
      <c r="R27" s="1">
        <v>1</v>
      </c>
      <c r="T27" s="1">
        <v>80</v>
      </c>
      <c r="U27" s="1">
        <v>20702</v>
      </c>
      <c r="V27" s="1" t="s">
        <v>114</v>
      </c>
      <c r="Z27" s="1">
        <v>1</v>
      </c>
    </row>
    <row r="28" spans="1:26" x14ac:dyDescent="0.15">
      <c r="A28" s="5">
        <v>11025</v>
      </c>
      <c r="B28" s="19"/>
      <c r="C28" s="1">
        <v>1</v>
      </c>
      <c r="E28" s="7" t="s">
        <v>947</v>
      </c>
      <c r="G28" s="1" t="s">
        <v>948</v>
      </c>
      <c r="H28" s="1"/>
      <c r="I28" s="1"/>
      <c r="K28" s="7" t="s">
        <v>924</v>
      </c>
      <c r="N28" s="1">
        <v>2</v>
      </c>
      <c r="T28" s="1">
        <v>40</v>
      </c>
      <c r="U28" s="1">
        <v>20301</v>
      </c>
      <c r="V28" s="1" t="s">
        <v>56</v>
      </c>
      <c r="Z28" s="1">
        <v>1</v>
      </c>
    </row>
    <row r="29" spans="1:26" x14ac:dyDescent="0.15">
      <c r="A29" s="5">
        <v>11026</v>
      </c>
      <c r="B29" s="19" t="s">
        <v>949</v>
      </c>
      <c r="C29" s="1">
        <v>1</v>
      </c>
      <c r="E29" s="1" t="s">
        <v>950</v>
      </c>
      <c r="G29" s="7" t="s">
        <v>951</v>
      </c>
      <c r="H29" s="1"/>
      <c r="I29" s="1"/>
      <c r="P29" s="1" t="s">
        <v>115</v>
      </c>
      <c r="S29" s="1">
        <v>20</v>
      </c>
      <c r="U29" s="1">
        <v>20303</v>
      </c>
      <c r="V29" s="1" t="s">
        <v>73</v>
      </c>
      <c r="Z29" s="1">
        <v>1</v>
      </c>
    </row>
    <row r="30" spans="1:26" ht="33" x14ac:dyDescent="0.15">
      <c r="A30" s="5">
        <v>11027</v>
      </c>
      <c r="B30" s="19"/>
      <c r="C30" s="1">
        <v>1</v>
      </c>
      <c r="E30" s="7" t="s">
        <v>952</v>
      </c>
      <c r="G30" s="1"/>
      <c r="H30" s="1"/>
      <c r="I30" s="1" t="s">
        <v>953</v>
      </c>
      <c r="P30" s="1" t="s">
        <v>116</v>
      </c>
      <c r="T30" s="1">
        <v>20</v>
      </c>
      <c r="U30" s="1">
        <v>20306</v>
      </c>
      <c r="V30" s="1" t="s">
        <v>83</v>
      </c>
    </row>
    <row r="31" spans="1:26" x14ac:dyDescent="0.15">
      <c r="A31" s="5">
        <v>11028</v>
      </c>
      <c r="B31" s="19" t="s">
        <v>954</v>
      </c>
      <c r="C31" s="1">
        <v>1</v>
      </c>
      <c r="E31" s="7" t="s">
        <v>117</v>
      </c>
      <c r="G31" s="1" t="s">
        <v>118</v>
      </c>
      <c r="H31" s="1"/>
      <c r="I31" s="1"/>
      <c r="M31" s="7" t="s">
        <v>119</v>
      </c>
      <c r="U31" s="1">
        <v>20001</v>
      </c>
      <c r="V31" s="1" t="s">
        <v>97</v>
      </c>
    </row>
    <row r="32" spans="1:26" x14ac:dyDescent="0.15">
      <c r="A32" s="5">
        <v>11029</v>
      </c>
      <c r="B32" s="19" t="s">
        <v>955</v>
      </c>
      <c r="C32" s="1">
        <v>1</v>
      </c>
      <c r="G32" s="1" t="s">
        <v>956</v>
      </c>
      <c r="H32" s="1"/>
      <c r="I32" s="1"/>
      <c r="K32" s="7" t="s">
        <v>957</v>
      </c>
      <c r="N32" s="1">
        <v>5</v>
      </c>
      <c r="O32" s="1">
        <v>3</v>
      </c>
      <c r="P32" s="1" t="s">
        <v>120</v>
      </c>
      <c r="Q32" s="9" t="s">
        <v>121</v>
      </c>
      <c r="R32" s="1">
        <v>1</v>
      </c>
      <c r="T32" s="1">
        <v>25</v>
      </c>
      <c r="U32" s="1">
        <v>20201</v>
      </c>
      <c r="V32" s="1" t="s">
        <v>61</v>
      </c>
      <c r="Z32" s="1">
        <v>1</v>
      </c>
    </row>
    <row r="33" spans="1:26" x14ac:dyDescent="0.15">
      <c r="A33" s="5">
        <v>11030</v>
      </c>
      <c r="B33" s="5" t="s">
        <v>958</v>
      </c>
      <c r="C33" s="1">
        <v>1</v>
      </c>
      <c r="E33" s="7" t="s">
        <v>959</v>
      </c>
      <c r="G33" s="1"/>
      <c r="H33" s="1"/>
      <c r="I33" s="1"/>
      <c r="K33" s="7" t="s">
        <v>960</v>
      </c>
      <c r="M33" s="7" t="s">
        <v>123</v>
      </c>
      <c r="P33" s="1" t="s">
        <v>77</v>
      </c>
      <c r="T33" s="1">
        <v>10</v>
      </c>
      <c r="U33" s="1">
        <v>20205</v>
      </c>
      <c r="V33" s="1" t="s">
        <v>124</v>
      </c>
    </row>
    <row r="34" spans="1:26" x14ac:dyDescent="0.15">
      <c r="A34" s="5">
        <v>11031</v>
      </c>
      <c r="B34" s="5" t="s">
        <v>961</v>
      </c>
      <c r="C34" s="1">
        <v>1</v>
      </c>
      <c r="E34" s="7" t="s">
        <v>939</v>
      </c>
      <c r="G34" s="7" t="s">
        <v>962</v>
      </c>
      <c r="H34" s="1"/>
      <c r="I34" s="1"/>
      <c r="S34" s="1">
        <v>5</v>
      </c>
      <c r="U34" s="1">
        <v>20203</v>
      </c>
      <c r="V34" s="1" t="s">
        <v>125</v>
      </c>
    </row>
    <row r="35" spans="1:26" ht="33" x14ac:dyDescent="0.15">
      <c r="A35" s="5">
        <v>11032</v>
      </c>
      <c r="B35" s="5" t="s">
        <v>963</v>
      </c>
      <c r="C35" s="1">
        <v>1</v>
      </c>
      <c r="E35" s="7" t="s">
        <v>107</v>
      </c>
      <c r="G35" s="1" t="s">
        <v>964</v>
      </c>
      <c r="H35" s="1"/>
      <c r="I35" s="1"/>
      <c r="K35" s="7" t="s">
        <v>47</v>
      </c>
      <c r="P35" s="1" t="s">
        <v>126</v>
      </c>
      <c r="U35" s="1">
        <v>20205</v>
      </c>
      <c r="V35" s="1" t="s">
        <v>124</v>
      </c>
    </row>
    <row r="36" spans="1:26" x14ac:dyDescent="0.15">
      <c r="A36" s="5">
        <v>11033</v>
      </c>
      <c r="B36" s="5" t="s">
        <v>965</v>
      </c>
      <c r="C36" s="1">
        <v>1</v>
      </c>
      <c r="G36" s="7" t="s">
        <v>967</v>
      </c>
      <c r="H36" s="1"/>
      <c r="K36" s="7" t="s">
        <v>968</v>
      </c>
      <c r="M36" s="7" t="s">
        <v>966</v>
      </c>
      <c r="P36" s="1" t="s">
        <v>79</v>
      </c>
      <c r="S36" s="1">
        <v>15</v>
      </c>
      <c r="U36" s="1">
        <v>20403</v>
      </c>
      <c r="V36" s="1" t="s">
        <v>128</v>
      </c>
    </row>
    <row r="37" spans="1:26" x14ac:dyDescent="0.15">
      <c r="A37" s="5">
        <v>11034</v>
      </c>
      <c r="B37" s="5" t="s">
        <v>969</v>
      </c>
      <c r="C37" s="1">
        <v>1</v>
      </c>
      <c r="E37" s="1" t="s">
        <v>970</v>
      </c>
      <c r="G37" s="7" t="s">
        <v>971</v>
      </c>
      <c r="H37" s="1"/>
      <c r="I37" s="1"/>
    </row>
    <row r="38" spans="1:26" ht="33" x14ac:dyDescent="0.15">
      <c r="A38" s="5">
        <v>11035</v>
      </c>
      <c r="B38" s="5" t="s">
        <v>130</v>
      </c>
      <c r="C38" s="1">
        <v>1</v>
      </c>
      <c r="E38" s="7" t="s">
        <v>1000</v>
      </c>
      <c r="G38" s="1" t="s">
        <v>999</v>
      </c>
      <c r="H38" s="1"/>
      <c r="I38" s="1"/>
      <c r="K38" s="7" t="s">
        <v>131</v>
      </c>
      <c r="M38" s="7" t="s">
        <v>972</v>
      </c>
      <c r="O38" s="1">
        <v>99</v>
      </c>
      <c r="U38" s="1">
        <v>20001</v>
      </c>
      <c r="V38" s="1" t="s">
        <v>97</v>
      </c>
    </row>
    <row r="39" spans="1:26" ht="33" x14ac:dyDescent="0.15">
      <c r="A39" s="5">
        <v>11036</v>
      </c>
      <c r="B39" s="5" t="s">
        <v>973</v>
      </c>
      <c r="C39" s="1">
        <v>1</v>
      </c>
      <c r="G39" s="7" t="s">
        <v>974</v>
      </c>
      <c r="O39" s="1">
        <v>99</v>
      </c>
      <c r="U39" s="1">
        <v>20001</v>
      </c>
      <c r="V39" s="1" t="s">
        <v>97</v>
      </c>
    </row>
    <row r="40" spans="1:26" x14ac:dyDescent="0.15">
      <c r="A40" s="5">
        <v>11037</v>
      </c>
      <c r="B40" s="5" t="s">
        <v>975</v>
      </c>
      <c r="C40" s="1">
        <v>1</v>
      </c>
      <c r="G40" s="1" t="s">
        <v>976</v>
      </c>
      <c r="H40" s="1"/>
      <c r="I40" s="7" t="s">
        <v>977</v>
      </c>
      <c r="O40" s="1">
        <v>99</v>
      </c>
      <c r="U40" s="1">
        <v>20001</v>
      </c>
      <c r="V40" s="1" t="s">
        <v>97</v>
      </c>
    </row>
    <row r="41" spans="1:26" ht="33" x14ac:dyDescent="0.15">
      <c r="A41" s="5">
        <v>11038</v>
      </c>
      <c r="B41" s="5" t="s">
        <v>978</v>
      </c>
      <c r="C41" s="1">
        <v>1</v>
      </c>
      <c r="E41" s="7" t="s">
        <v>107</v>
      </c>
      <c r="G41" s="1" t="s">
        <v>979</v>
      </c>
      <c r="H41" s="1"/>
      <c r="I41" s="7" t="s">
        <v>46</v>
      </c>
      <c r="O41" s="1">
        <v>99</v>
      </c>
      <c r="U41" s="1">
        <v>20001</v>
      </c>
      <c r="V41" s="1" t="s">
        <v>97</v>
      </c>
    </row>
    <row r="42" spans="1:26" x14ac:dyDescent="0.15">
      <c r="A42" s="5">
        <v>11039</v>
      </c>
      <c r="B42" s="5" t="s">
        <v>981</v>
      </c>
      <c r="C42" s="1">
        <v>1</v>
      </c>
      <c r="E42" s="1" t="s">
        <v>996</v>
      </c>
      <c r="F42" s="1"/>
      <c r="G42" s="1" t="s">
        <v>997</v>
      </c>
      <c r="M42" s="7" t="s">
        <v>995</v>
      </c>
      <c r="O42" s="1">
        <v>99</v>
      </c>
    </row>
    <row r="43" spans="1:26" ht="33" x14ac:dyDescent="0.15">
      <c r="A43" s="5">
        <v>11040</v>
      </c>
      <c r="B43" s="5" t="s">
        <v>973</v>
      </c>
      <c r="C43" s="1">
        <v>1</v>
      </c>
      <c r="G43" s="7" t="s">
        <v>980</v>
      </c>
      <c r="O43" s="1">
        <v>99</v>
      </c>
      <c r="U43" s="1">
        <v>20001</v>
      </c>
      <c r="V43" s="1" t="s">
        <v>97</v>
      </c>
    </row>
    <row r="44" spans="1:26" x14ac:dyDescent="0.15">
      <c r="A44" s="5">
        <v>11041</v>
      </c>
      <c r="B44" s="6" t="s">
        <v>92</v>
      </c>
      <c r="C44" s="1">
        <v>1</v>
      </c>
      <c r="E44" s="7" t="s">
        <v>93</v>
      </c>
      <c r="G44" s="1" t="s">
        <v>138</v>
      </c>
      <c r="H44" s="1"/>
      <c r="I44" s="1"/>
      <c r="K44" s="7" t="s">
        <v>139</v>
      </c>
      <c r="O44" s="1">
        <v>99</v>
      </c>
      <c r="P44" s="1" t="s">
        <v>95</v>
      </c>
      <c r="Q44" s="9" t="s">
        <v>96</v>
      </c>
      <c r="R44" s="1">
        <v>1</v>
      </c>
      <c r="U44" s="1">
        <v>20001</v>
      </c>
      <c r="V44" s="1" t="s">
        <v>97</v>
      </c>
      <c r="Z44" s="1">
        <v>0</v>
      </c>
    </row>
    <row r="45" spans="1:26" x14ac:dyDescent="0.15">
      <c r="A45" s="5">
        <v>11042</v>
      </c>
      <c r="B45" s="6" t="s">
        <v>92</v>
      </c>
      <c r="C45" s="1">
        <v>1</v>
      </c>
      <c r="E45" s="7" t="s">
        <v>93</v>
      </c>
      <c r="G45" s="1" t="s">
        <v>140</v>
      </c>
      <c r="H45" s="1"/>
      <c r="I45" s="1"/>
      <c r="K45" s="7" t="s">
        <v>141</v>
      </c>
      <c r="O45" s="1">
        <v>99</v>
      </c>
      <c r="P45" s="1" t="s">
        <v>95</v>
      </c>
      <c r="Q45" s="9" t="s">
        <v>96</v>
      </c>
      <c r="R45" s="1">
        <v>1</v>
      </c>
      <c r="U45" s="1">
        <v>20001</v>
      </c>
      <c r="V45" s="1" t="s">
        <v>97</v>
      </c>
      <c r="Z45" s="1">
        <v>0</v>
      </c>
    </row>
    <row r="46" spans="1:26" x14ac:dyDescent="0.15">
      <c r="A46" s="5">
        <v>11043</v>
      </c>
      <c r="B46" s="6" t="s">
        <v>100</v>
      </c>
      <c r="C46" s="1">
        <v>1</v>
      </c>
      <c r="E46" s="7" t="s">
        <v>101</v>
      </c>
      <c r="G46" s="1" t="s">
        <v>102</v>
      </c>
      <c r="H46" s="1"/>
      <c r="I46" s="1"/>
      <c r="K46" s="7" t="s">
        <v>139</v>
      </c>
      <c r="O46" s="1">
        <v>99</v>
      </c>
      <c r="P46" s="1" t="s">
        <v>103</v>
      </c>
      <c r="Q46" s="9" t="s">
        <v>104</v>
      </c>
      <c r="R46" s="1">
        <v>1</v>
      </c>
      <c r="U46" s="1">
        <v>20001</v>
      </c>
      <c r="V46" s="1" t="s">
        <v>97</v>
      </c>
    </row>
    <row r="47" spans="1:26" x14ac:dyDescent="0.15">
      <c r="A47" s="5">
        <v>11044</v>
      </c>
      <c r="B47" s="6" t="s">
        <v>100</v>
      </c>
      <c r="C47" s="1">
        <v>1</v>
      </c>
      <c r="E47" s="7" t="s">
        <v>101</v>
      </c>
      <c r="G47" s="1" t="s">
        <v>102</v>
      </c>
      <c r="H47" s="1"/>
      <c r="I47" s="1"/>
      <c r="K47" s="7" t="s">
        <v>141</v>
      </c>
      <c r="O47" s="1">
        <v>99</v>
      </c>
      <c r="P47" s="1" t="s">
        <v>103</v>
      </c>
      <c r="Q47" s="9" t="s">
        <v>104</v>
      </c>
      <c r="R47" s="1">
        <v>1</v>
      </c>
      <c r="U47" s="1">
        <v>20001</v>
      </c>
      <c r="V47" s="1" t="s">
        <v>97</v>
      </c>
    </row>
    <row r="48" spans="1:26" ht="33" x14ac:dyDescent="0.15">
      <c r="A48" s="5">
        <v>11045</v>
      </c>
      <c r="B48" s="5" t="s">
        <v>130</v>
      </c>
      <c r="C48" s="1">
        <v>1</v>
      </c>
      <c r="E48" s="7" t="s">
        <v>998</v>
      </c>
      <c r="G48" s="1" t="s">
        <v>999</v>
      </c>
      <c r="H48" s="1"/>
      <c r="I48" s="1"/>
      <c r="K48" s="7" t="s">
        <v>131</v>
      </c>
      <c r="M48" s="7" t="s">
        <v>132</v>
      </c>
      <c r="O48" s="1">
        <v>99</v>
      </c>
      <c r="U48" s="1">
        <v>20001</v>
      </c>
      <c r="V48" s="1" t="s">
        <v>97</v>
      </c>
    </row>
    <row r="49" spans="1:26" ht="33" x14ac:dyDescent="0.15">
      <c r="A49" s="5">
        <v>11046</v>
      </c>
      <c r="B49" s="5" t="s">
        <v>133</v>
      </c>
      <c r="C49" s="1">
        <v>1</v>
      </c>
      <c r="G49" s="7" t="s">
        <v>137</v>
      </c>
      <c r="O49" s="1">
        <v>99</v>
      </c>
      <c r="U49" s="1">
        <v>20001</v>
      </c>
      <c r="V49" s="1" t="s">
        <v>97</v>
      </c>
    </row>
    <row r="50" spans="1:26" ht="33" x14ac:dyDescent="0.15">
      <c r="A50" s="5">
        <v>11047</v>
      </c>
      <c r="B50" s="5" t="s">
        <v>134</v>
      </c>
      <c r="C50" s="1">
        <v>1</v>
      </c>
      <c r="G50" s="1" t="s">
        <v>135</v>
      </c>
      <c r="H50" s="1"/>
      <c r="I50" s="7" t="s">
        <v>982</v>
      </c>
      <c r="O50" s="1">
        <v>99</v>
      </c>
      <c r="U50" s="1">
        <v>20001</v>
      </c>
      <c r="V50" s="1" t="s">
        <v>97</v>
      </c>
    </row>
    <row r="51" spans="1:26" x14ac:dyDescent="0.15">
      <c r="A51" s="5">
        <v>11048</v>
      </c>
      <c r="C51" s="1">
        <v>1</v>
      </c>
      <c r="G51" s="7" t="s">
        <v>983</v>
      </c>
      <c r="H51" s="1"/>
      <c r="I51" s="1"/>
    </row>
    <row r="52" spans="1:26" x14ac:dyDescent="0.15">
      <c r="A52" s="5">
        <v>11049</v>
      </c>
      <c r="C52" s="1">
        <v>1</v>
      </c>
      <c r="G52" s="1" t="s">
        <v>984</v>
      </c>
      <c r="H52" s="1"/>
      <c r="I52" s="1"/>
    </row>
    <row r="53" spans="1:26" ht="33" x14ac:dyDescent="0.15">
      <c r="A53" s="5">
        <v>11050</v>
      </c>
      <c r="C53" s="1">
        <v>1</v>
      </c>
      <c r="E53" s="7" t="s">
        <v>985</v>
      </c>
      <c r="G53" s="1"/>
      <c r="H53" s="1"/>
      <c r="I53" s="7" t="s">
        <v>46</v>
      </c>
      <c r="K53" s="7" t="s">
        <v>986</v>
      </c>
      <c r="P53" s="1" t="s">
        <v>142</v>
      </c>
    </row>
    <row r="54" spans="1:26" x14ac:dyDescent="0.15">
      <c r="A54" s="5">
        <v>11051</v>
      </c>
      <c r="B54" s="5" t="s">
        <v>987</v>
      </c>
      <c r="C54" s="1">
        <v>1</v>
      </c>
      <c r="E54" s="7" t="s">
        <v>143</v>
      </c>
      <c r="K54" s="7" t="s">
        <v>885</v>
      </c>
      <c r="N54" s="1">
        <v>1</v>
      </c>
      <c r="O54" s="1">
        <v>1</v>
      </c>
      <c r="P54" s="1" t="s">
        <v>144</v>
      </c>
      <c r="Q54" s="9">
        <v>2</v>
      </c>
      <c r="R54" s="1">
        <v>1</v>
      </c>
      <c r="U54" s="1">
        <v>20204</v>
      </c>
      <c r="V54" s="1" t="s">
        <v>145</v>
      </c>
      <c r="Z54" s="1">
        <v>1</v>
      </c>
    </row>
    <row r="55" spans="1:26" x14ac:dyDescent="0.15">
      <c r="A55" s="5">
        <v>11052</v>
      </c>
      <c r="B55" s="5" t="s">
        <v>988</v>
      </c>
      <c r="G55" s="7" t="s">
        <v>990</v>
      </c>
      <c r="H55" s="1"/>
      <c r="I55" s="1"/>
      <c r="K55" s="7" t="s">
        <v>989</v>
      </c>
      <c r="P55" s="1" t="s">
        <v>146</v>
      </c>
      <c r="R55" s="1">
        <v>1</v>
      </c>
      <c r="U55" s="1">
        <v>20204</v>
      </c>
      <c r="V55" s="1" t="s">
        <v>145</v>
      </c>
      <c r="Z55" s="1">
        <v>1</v>
      </c>
    </row>
    <row r="56" spans="1:26" x14ac:dyDescent="0.15">
      <c r="A56" s="5">
        <v>11053</v>
      </c>
      <c r="B56" s="1" t="s">
        <v>991</v>
      </c>
      <c r="C56" s="1">
        <v>1</v>
      </c>
      <c r="E56" s="1"/>
      <c r="F56" s="1"/>
      <c r="G56" s="1" t="s">
        <v>993</v>
      </c>
      <c r="H56" s="1"/>
      <c r="I56" s="1"/>
      <c r="J56" s="1"/>
      <c r="K56" s="1" t="s">
        <v>994</v>
      </c>
      <c r="L56" s="1"/>
      <c r="M56" s="1" t="s">
        <v>992</v>
      </c>
      <c r="P56" s="1" t="s">
        <v>48</v>
      </c>
      <c r="Q56" s="1"/>
      <c r="S56" s="1">
        <v>5</v>
      </c>
      <c r="U56" s="1">
        <v>20205</v>
      </c>
      <c r="V56" s="1" t="s">
        <v>124</v>
      </c>
      <c r="Z56" s="1">
        <v>1</v>
      </c>
    </row>
    <row r="57" spans="1:26" x14ac:dyDescent="0.15">
      <c r="G57" s="1"/>
      <c r="H57" s="1"/>
      <c r="I57" s="1"/>
    </row>
    <row r="58" spans="1:26" x14ac:dyDescent="0.15">
      <c r="G58" s="1"/>
      <c r="H58" s="1"/>
      <c r="I58" s="1"/>
    </row>
    <row r="59" spans="1:26" x14ac:dyDescent="0.15">
      <c r="G59" s="1"/>
      <c r="H59" s="1"/>
      <c r="I59" s="1"/>
    </row>
    <row r="60" spans="1:26" x14ac:dyDescent="0.15">
      <c r="G60" s="1"/>
      <c r="H60" s="1"/>
      <c r="I60" s="1"/>
    </row>
    <row r="61" spans="1:26" x14ac:dyDescent="0.15">
      <c r="A61" s="5">
        <v>12001</v>
      </c>
      <c r="B61" s="6" t="s">
        <v>1001</v>
      </c>
      <c r="C61" s="1">
        <v>2</v>
      </c>
      <c r="G61" s="1" t="s">
        <v>147</v>
      </c>
      <c r="H61" s="1"/>
      <c r="I61" s="1"/>
      <c r="K61" s="7" t="s">
        <v>1007</v>
      </c>
      <c r="N61" s="1">
        <v>1</v>
      </c>
      <c r="O61" s="1">
        <v>2</v>
      </c>
      <c r="P61" s="1" t="s">
        <v>1002</v>
      </c>
      <c r="Q61" s="9" t="s">
        <v>149</v>
      </c>
      <c r="R61" s="1">
        <v>1</v>
      </c>
      <c r="T61" s="1">
        <v>10</v>
      </c>
      <c r="U61" s="1">
        <v>20101</v>
      </c>
      <c r="V61" s="1" t="s">
        <v>68</v>
      </c>
      <c r="Z61" s="1">
        <v>1</v>
      </c>
    </row>
    <row r="62" spans="1:26" x14ac:dyDescent="0.15">
      <c r="A62" s="5">
        <v>12002</v>
      </c>
      <c r="B62" s="6" t="s">
        <v>1003</v>
      </c>
      <c r="C62" s="1">
        <v>2</v>
      </c>
      <c r="G62" s="1" t="s">
        <v>150</v>
      </c>
      <c r="H62" s="1"/>
      <c r="I62" s="1"/>
      <c r="K62" s="7" t="s">
        <v>151</v>
      </c>
      <c r="N62" s="1">
        <v>1</v>
      </c>
      <c r="O62" s="1">
        <v>4</v>
      </c>
      <c r="P62" s="1" t="s">
        <v>152</v>
      </c>
      <c r="Q62" s="9" t="s">
        <v>1005</v>
      </c>
      <c r="R62" s="1">
        <v>1</v>
      </c>
      <c r="T62" s="1">
        <v>30</v>
      </c>
      <c r="U62" s="1">
        <v>20101</v>
      </c>
      <c r="V62" s="1" t="s">
        <v>68</v>
      </c>
      <c r="Z62" s="1">
        <v>1</v>
      </c>
    </row>
    <row r="63" spans="1:26" x14ac:dyDescent="0.15">
      <c r="A63" s="5">
        <v>12003</v>
      </c>
      <c r="B63" s="6" t="s">
        <v>1004</v>
      </c>
      <c r="C63" s="1">
        <v>2</v>
      </c>
      <c r="G63" s="1" t="s">
        <v>154</v>
      </c>
      <c r="H63" s="1"/>
      <c r="I63" s="1"/>
      <c r="K63" s="7" t="s">
        <v>155</v>
      </c>
      <c r="N63" s="1">
        <v>1</v>
      </c>
      <c r="O63" s="1">
        <v>6</v>
      </c>
      <c r="P63" s="1" t="s">
        <v>156</v>
      </c>
      <c r="Q63" s="9" t="s">
        <v>1006</v>
      </c>
      <c r="R63" s="1">
        <v>1</v>
      </c>
      <c r="T63" s="1">
        <v>90</v>
      </c>
      <c r="U63" s="1">
        <v>20101</v>
      </c>
      <c r="V63" s="1" t="s">
        <v>68</v>
      </c>
      <c r="Z63" s="1">
        <v>1</v>
      </c>
    </row>
    <row r="64" spans="1:26" x14ac:dyDescent="0.15">
      <c r="A64" s="5">
        <v>12004</v>
      </c>
      <c r="B64" s="6" t="s">
        <v>1008</v>
      </c>
      <c r="C64" s="1">
        <v>2</v>
      </c>
      <c r="E64" s="7" t="s">
        <v>1011</v>
      </c>
      <c r="G64" s="1" t="s">
        <v>147</v>
      </c>
      <c r="H64" s="1"/>
      <c r="I64" s="1"/>
      <c r="K64" s="7" t="s">
        <v>1014</v>
      </c>
      <c r="N64" s="1">
        <v>1</v>
      </c>
      <c r="O64" s="1">
        <v>6</v>
      </c>
      <c r="P64" s="1" t="s">
        <v>159</v>
      </c>
      <c r="Q64" s="9" t="s">
        <v>160</v>
      </c>
      <c r="R64" s="1">
        <v>1</v>
      </c>
      <c r="T64" s="1">
        <v>9</v>
      </c>
      <c r="U64" s="1">
        <v>20101</v>
      </c>
      <c r="V64" s="1" t="s">
        <v>68</v>
      </c>
      <c r="Z64" s="1">
        <v>1</v>
      </c>
    </row>
    <row r="65" spans="1:26" x14ac:dyDescent="0.15">
      <c r="A65" s="5">
        <v>12005</v>
      </c>
      <c r="B65" s="6" t="s">
        <v>1009</v>
      </c>
      <c r="C65" s="1">
        <v>2</v>
      </c>
      <c r="E65" s="7" t="s">
        <v>1012</v>
      </c>
      <c r="G65" s="1" t="s">
        <v>162</v>
      </c>
      <c r="H65" s="1"/>
      <c r="I65" s="1"/>
      <c r="K65" s="7" t="s">
        <v>1015</v>
      </c>
      <c r="N65" s="1">
        <v>1</v>
      </c>
      <c r="O65" s="1">
        <v>5</v>
      </c>
      <c r="P65" s="1" t="s">
        <v>163</v>
      </c>
      <c r="Q65" s="9" t="s">
        <v>164</v>
      </c>
      <c r="R65" s="1">
        <v>1</v>
      </c>
      <c r="T65" s="1">
        <v>20</v>
      </c>
      <c r="U65" s="1">
        <v>20101</v>
      </c>
      <c r="V65" s="1" t="s">
        <v>68</v>
      </c>
      <c r="Z65" s="1">
        <v>1</v>
      </c>
    </row>
    <row r="66" spans="1:26" x14ac:dyDescent="0.15">
      <c r="A66" s="5">
        <v>12006</v>
      </c>
      <c r="B66" s="6" t="s">
        <v>1010</v>
      </c>
      <c r="C66" s="1">
        <v>2</v>
      </c>
      <c r="E66" s="7" t="s">
        <v>1013</v>
      </c>
      <c r="G66" s="1" t="s">
        <v>166</v>
      </c>
      <c r="H66" s="1"/>
      <c r="I66" s="1"/>
      <c r="K66" s="7" t="s">
        <v>1016</v>
      </c>
      <c r="N66" s="1">
        <v>1</v>
      </c>
      <c r="O66" s="1">
        <v>4</v>
      </c>
      <c r="P66" s="1" t="s">
        <v>167</v>
      </c>
      <c r="Q66" s="9" t="s">
        <v>168</v>
      </c>
      <c r="R66" s="1">
        <v>1</v>
      </c>
      <c r="T66" s="1">
        <v>49</v>
      </c>
      <c r="U66" s="1">
        <v>20101</v>
      </c>
      <c r="V66" s="1" t="s">
        <v>68</v>
      </c>
      <c r="Z66" s="1">
        <v>1</v>
      </c>
    </row>
    <row r="67" spans="1:26" x14ac:dyDescent="0.15">
      <c r="A67" s="5">
        <v>12007</v>
      </c>
      <c r="B67" s="6" t="s">
        <v>1018</v>
      </c>
      <c r="C67" s="1">
        <v>2</v>
      </c>
      <c r="G67" s="1" t="s">
        <v>1017</v>
      </c>
      <c r="H67" s="1"/>
      <c r="I67" s="1"/>
      <c r="K67" s="7" t="s">
        <v>1007</v>
      </c>
      <c r="N67" s="1">
        <v>3</v>
      </c>
      <c r="O67" s="1">
        <v>8</v>
      </c>
      <c r="P67" s="1" t="s">
        <v>169</v>
      </c>
      <c r="Q67" s="9" t="s">
        <v>1019</v>
      </c>
      <c r="R67" s="1">
        <v>1</v>
      </c>
      <c r="T67" s="1">
        <v>25</v>
      </c>
      <c r="U67" s="1">
        <v>20301</v>
      </c>
      <c r="V67" s="1" t="s">
        <v>56</v>
      </c>
      <c r="Z67" s="1">
        <v>1</v>
      </c>
    </row>
    <row r="68" spans="1:26" x14ac:dyDescent="0.15">
      <c r="A68" s="5">
        <v>12008</v>
      </c>
      <c r="B68" s="6" t="s">
        <v>1020</v>
      </c>
      <c r="C68" s="1">
        <v>2</v>
      </c>
      <c r="E68" s="7" t="s">
        <v>1021</v>
      </c>
      <c r="G68" s="7" t="s">
        <v>166</v>
      </c>
      <c r="I68" s="7" t="s">
        <v>1023</v>
      </c>
      <c r="K68" s="7" t="s">
        <v>1024</v>
      </c>
      <c r="N68" s="1">
        <v>6</v>
      </c>
      <c r="O68" s="1">
        <v>10</v>
      </c>
      <c r="P68" s="1" t="s">
        <v>170</v>
      </c>
      <c r="Q68" s="9" t="s">
        <v>1022</v>
      </c>
      <c r="R68" s="1">
        <v>1</v>
      </c>
      <c r="T68" s="1">
        <v>25</v>
      </c>
      <c r="U68" s="1">
        <v>20301</v>
      </c>
      <c r="V68" s="1" t="s">
        <v>56</v>
      </c>
      <c r="Z68" s="1">
        <v>1</v>
      </c>
    </row>
    <row r="69" spans="1:26" x14ac:dyDescent="0.15">
      <c r="A69" s="5">
        <v>12009</v>
      </c>
      <c r="B69" s="6" t="s">
        <v>1025</v>
      </c>
      <c r="C69" s="1">
        <v>2</v>
      </c>
      <c r="E69" s="7" t="s">
        <v>1027</v>
      </c>
      <c r="G69" s="7" t="s">
        <v>147</v>
      </c>
      <c r="K69" s="7" t="s">
        <v>1028</v>
      </c>
      <c r="N69" s="1">
        <v>1</v>
      </c>
      <c r="O69" s="1">
        <v>7</v>
      </c>
      <c r="P69" s="1" t="s">
        <v>171</v>
      </c>
      <c r="Q69" s="9" t="s">
        <v>1026</v>
      </c>
      <c r="R69" s="1">
        <v>1</v>
      </c>
      <c r="T69" s="1">
        <v>30</v>
      </c>
      <c r="U69" s="1">
        <v>20401</v>
      </c>
      <c r="V69" s="1" t="s">
        <v>172</v>
      </c>
      <c r="Z69" s="1">
        <v>1</v>
      </c>
    </row>
    <row r="70" spans="1:26" x14ac:dyDescent="0.15">
      <c r="A70" s="5">
        <v>12010</v>
      </c>
      <c r="B70" s="5" t="s">
        <v>1029</v>
      </c>
      <c r="C70" s="1">
        <v>2</v>
      </c>
      <c r="E70" s="7" t="s">
        <v>173</v>
      </c>
      <c r="U70" s="1">
        <v>20701</v>
      </c>
      <c r="V70" s="1" t="s">
        <v>174</v>
      </c>
      <c r="Z70" s="1">
        <v>1</v>
      </c>
    </row>
    <row r="71" spans="1:26" ht="49.5" x14ac:dyDescent="0.15">
      <c r="A71" s="5">
        <v>12011</v>
      </c>
      <c r="B71" s="5" t="s">
        <v>1030</v>
      </c>
      <c r="C71" s="1">
        <v>2</v>
      </c>
      <c r="G71" s="7" t="s">
        <v>147</v>
      </c>
      <c r="I71" s="7" t="s">
        <v>175</v>
      </c>
      <c r="U71" s="1">
        <v>20502</v>
      </c>
      <c r="V71" s="1" t="s">
        <v>176</v>
      </c>
      <c r="Z71" s="1">
        <v>1</v>
      </c>
    </row>
    <row r="72" spans="1:26" ht="49.5" x14ac:dyDescent="0.15">
      <c r="A72" s="5">
        <v>12012</v>
      </c>
      <c r="B72" s="5" t="s">
        <v>1031</v>
      </c>
      <c r="C72" s="1">
        <v>2</v>
      </c>
      <c r="G72" s="7" t="s">
        <v>147</v>
      </c>
      <c r="I72" s="7" t="s">
        <v>177</v>
      </c>
      <c r="U72" s="1">
        <v>20502</v>
      </c>
      <c r="V72" s="1" t="s">
        <v>176</v>
      </c>
      <c r="Z72" s="1">
        <v>1</v>
      </c>
    </row>
    <row r="73" spans="1:26" ht="33" x14ac:dyDescent="0.15">
      <c r="A73" s="5">
        <v>12013</v>
      </c>
      <c r="B73" s="6" t="s">
        <v>1032</v>
      </c>
      <c r="C73" s="1">
        <v>2</v>
      </c>
      <c r="E73" s="7" t="s">
        <v>178</v>
      </c>
      <c r="G73" s="7" t="s">
        <v>179</v>
      </c>
      <c r="K73" s="7" t="s">
        <v>180</v>
      </c>
      <c r="O73" s="1">
        <v>4</v>
      </c>
      <c r="P73" s="1" t="s">
        <v>181</v>
      </c>
      <c r="S73" s="1">
        <v>25</v>
      </c>
      <c r="U73" s="1">
        <v>20502</v>
      </c>
      <c r="V73" s="1" t="s">
        <v>176</v>
      </c>
      <c r="Z73" s="1">
        <v>1</v>
      </c>
    </row>
    <row r="74" spans="1:26" ht="33" x14ac:dyDescent="0.15">
      <c r="A74" s="5">
        <v>12014</v>
      </c>
      <c r="B74" s="6" t="s">
        <v>1033</v>
      </c>
      <c r="C74" s="1">
        <v>2</v>
      </c>
      <c r="E74" s="7" t="s">
        <v>182</v>
      </c>
      <c r="G74" s="7" t="s">
        <v>183</v>
      </c>
      <c r="K74" s="7" t="s">
        <v>184</v>
      </c>
      <c r="O74" s="1">
        <v>4</v>
      </c>
      <c r="P74" s="1" t="s">
        <v>185</v>
      </c>
      <c r="T74" s="1">
        <v>25</v>
      </c>
      <c r="U74" s="1">
        <v>20502</v>
      </c>
      <c r="V74" s="1" t="s">
        <v>176</v>
      </c>
      <c r="Z74" s="1">
        <v>1</v>
      </c>
    </row>
    <row r="75" spans="1:26" ht="33" x14ac:dyDescent="0.15">
      <c r="A75" s="5">
        <v>12015</v>
      </c>
      <c r="B75" s="6" t="s">
        <v>1034</v>
      </c>
      <c r="C75" s="1">
        <v>2</v>
      </c>
      <c r="E75" s="7" t="s">
        <v>186</v>
      </c>
      <c r="G75" s="7" t="s">
        <v>187</v>
      </c>
      <c r="K75" s="7" t="s">
        <v>188</v>
      </c>
      <c r="O75" s="1">
        <v>4</v>
      </c>
      <c r="P75" s="1" t="s">
        <v>189</v>
      </c>
      <c r="S75" s="1">
        <v>25</v>
      </c>
      <c r="U75" s="1">
        <v>20502</v>
      </c>
      <c r="V75" s="1" t="s">
        <v>176</v>
      </c>
      <c r="Z75" s="1">
        <v>1</v>
      </c>
    </row>
    <row r="76" spans="1:26" ht="33" x14ac:dyDescent="0.15">
      <c r="A76" s="5">
        <v>12016</v>
      </c>
      <c r="B76" s="6" t="s">
        <v>1035</v>
      </c>
      <c r="C76" s="1">
        <v>2</v>
      </c>
      <c r="E76" s="7" t="s">
        <v>190</v>
      </c>
      <c r="G76" s="7" t="s">
        <v>191</v>
      </c>
      <c r="K76" s="7" t="s">
        <v>192</v>
      </c>
      <c r="O76" s="1">
        <v>4</v>
      </c>
      <c r="P76" s="1" t="s">
        <v>193</v>
      </c>
      <c r="T76" s="1">
        <v>25</v>
      </c>
      <c r="U76" s="1">
        <v>20502</v>
      </c>
      <c r="V76" s="1" t="s">
        <v>176</v>
      </c>
      <c r="Z76" s="1">
        <v>1</v>
      </c>
    </row>
    <row r="77" spans="1:26" ht="33" x14ac:dyDescent="0.15">
      <c r="A77" s="5">
        <v>12017</v>
      </c>
      <c r="B77" s="6" t="s">
        <v>1036</v>
      </c>
      <c r="C77" s="1">
        <v>2</v>
      </c>
      <c r="E77" s="7" t="s">
        <v>194</v>
      </c>
      <c r="G77" s="20" t="s">
        <v>195</v>
      </c>
      <c r="H77" s="20"/>
      <c r="I77" s="20"/>
      <c r="K77" s="7" t="s">
        <v>196</v>
      </c>
      <c r="O77" s="1">
        <v>4</v>
      </c>
      <c r="P77" s="1" t="s">
        <v>197</v>
      </c>
      <c r="T77" s="1">
        <v>25</v>
      </c>
      <c r="U77" s="1">
        <v>20502</v>
      </c>
      <c r="V77" s="1" t="s">
        <v>176</v>
      </c>
      <c r="Z77" s="1">
        <v>1</v>
      </c>
    </row>
    <row r="78" spans="1:26" ht="33" x14ac:dyDescent="0.15">
      <c r="A78" s="5">
        <v>12018</v>
      </c>
      <c r="B78" s="6" t="s">
        <v>1037</v>
      </c>
      <c r="C78" s="1">
        <v>2</v>
      </c>
      <c r="E78" s="7" t="s">
        <v>198</v>
      </c>
      <c r="G78" s="7" t="s">
        <v>199</v>
      </c>
      <c r="K78" s="7" t="s">
        <v>200</v>
      </c>
      <c r="O78" s="1">
        <v>4</v>
      </c>
      <c r="P78" s="1" t="s">
        <v>88</v>
      </c>
      <c r="S78" s="1">
        <v>25</v>
      </c>
      <c r="U78" s="1">
        <v>20502</v>
      </c>
      <c r="V78" s="1" t="s">
        <v>176</v>
      </c>
      <c r="Z78" s="1">
        <v>1</v>
      </c>
    </row>
    <row r="79" spans="1:26" ht="33" x14ac:dyDescent="0.15">
      <c r="A79" s="5">
        <v>12019</v>
      </c>
      <c r="B79" s="6" t="s">
        <v>1038</v>
      </c>
      <c r="C79" s="1">
        <v>2</v>
      </c>
      <c r="E79" s="7" t="s">
        <v>201</v>
      </c>
      <c r="G79" s="7" t="s">
        <v>202</v>
      </c>
      <c r="K79" s="7" t="s">
        <v>203</v>
      </c>
      <c r="O79" s="1">
        <v>4</v>
      </c>
      <c r="P79" s="1" t="s">
        <v>204</v>
      </c>
      <c r="T79" s="1">
        <v>25</v>
      </c>
      <c r="U79" s="1">
        <v>20502</v>
      </c>
      <c r="V79" s="1" t="s">
        <v>176</v>
      </c>
      <c r="Z79" s="1">
        <v>1</v>
      </c>
    </row>
    <row r="80" spans="1:26" ht="33" x14ac:dyDescent="0.15">
      <c r="A80" s="5">
        <v>12020</v>
      </c>
      <c r="B80" s="6" t="s">
        <v>1039</v>
      </c>
      <c r="C80" s="1">
        <v>2</v>
      </c>
      <c r="E80" s="7" t="s">
        <v>205</v>
      </c>
      <c r="G80" s="7" t="s">
        <v>206</v>
      </c>
      <c r="K80" s="7" t="s">
        <v>207</v>
      </c>
      <c r="O80" s="1">
        <v>4</v>
      </c>
      <c r="P80" s="1" t="s">
        <v>208</v>
      </c>
      <c r="S80" s="1">
        <v>25</v>
      </c>
      <c r="U80" s="1">
        <v>20502</v>
      </c>
      <c r="V80" s="1" t="s">
        <v>176</v>
      </c>
      <c r="Z80" s="1">
        <v>1</v>
      </c>
    </row>
    <row r="81" spans="1:26" x14ac:dyDescent="0.15">
      <c r="A81" s="5">
        <v>12021</v>
      </c>
      <c r="B81" s="6" t="s">
        <v>1040</v>
      </c>
      <c r="C81" s="1">
        <v>2</v>
      </c>
      <c r="E81" s="7" t="s">
        <v>1041</v>
      </c>
      <c r="G81" s="7" t="s">
        <v>1042</v>
      </c>
      <c r="O81" s="1">
        <v>7</v>
      </c>
      <c r="P81" s="1" t="s">
        <v>209</v>
      </c>
      <c r="T81" s="1">
        <v>30</v>
      </c>
      <c r="U81" s="1">
        <v>20203</v>
      </c>
      <c r="V81" s="1" t="s">
        <v>125</v>
      </c>
      <c r="Z81" s="1">
        <v>1</v>
      </c>
    </row>
    <row r="82" spans="1:26" x14ac:dyDescent="0.15">
      <c r="A82" s="5">
        <v>12022</v>
      </c>
      <c r="B82" s="5" t="s">
        <v>1043</v>
      </c>
      <c r="C82" s="1">
        <v>2</v>
      </c>
      <c r="G82" s="1" t="s">
        <v>1044</v>
      </c>
      <c r="U82" s="1">
        <v>20701</v>
      </c>
      <c r="V82" s="1" t="s">
        <v>174</v>
      </c>
      <c r="Z82" s="1">
        <v>1</v>
      </c>
    </row>
    <row r="83" spans="1:26" x14ac:dyDescent="0.15">
      <c r="A83" s="5">
        <v>12023</v>
      </c>
      <c r="B83" s="5" t="s">
        <v>1045</v>
      </c>
      <c r="C83" s="1">
        <v>2</v>
      </c>
      <c r="G83" s="7" t="s">
        <v>210</v>
      </c>
      <c r="O83" s="1">
        <v>99</v>
      </c>
      <c r="U83" s="1">
        <v>20505</v>
      </c>
      <c r="V83" s="1" t="s">
        <v>211</v>
      </c>
      <c r="Z83" s="1">
        <v>1</v>
      </c>
    </row>
    <row r="84" spans="1:26" x14ac:dyDescent="0.15">
      <c r="A84" s="5">
        <v>12024</v>
      </c>
      <c r="B84" s="5" t="s">
        <v>1046</v>
      </c>
      <c r="C84" s="1">
        <v>2</v>
      </c>
      <c r="G84" s="7" t="s">
        <v>1047</v>
      </c>
      <c r="I84" s="7" t="s">
        <v>1048</v>
      </c>
      <c r="P84" s="1" t="s">
        <v>214</v>
      </c>
      <c r="T84" s="1">
        <v>500</v>
      </c>
      <c r="U84" s="1">
        <v>20001</v>
      </c>
      <c r="V84" s="1" t="s">
        <v>97</v>
      </c>
      <c r="Z84" s="1">
        <v>1</v>
      </c>
    </row>
    <row r="85" spans="1:26" x14ac:dyDescent="0.15">
      <c r="A85" s="5">
        <v>12025</v>
      </c>
      <c r="B85" s="5" t="s">
        <v>212</v>
      </c>
      <c r="C85" s="1">
        <v>2</v>
      </c>
      <c r="E85" s="7" t="s">
        <v>1049</v>
      </c>
      <c r="G85" s="7" t="s">
        <v>215</v>
      </c>
      <c r="H85" s="1"/>
      <c r="P85" s="1" t="s">
        <v>214</v>
      </c>
      <c r="T85" s="1">
        <v>500</v>
      </c>
      <c r="U85" s="1">
        <v>20001</v>
      </c>
      <c r="V85" s="1" t="s">
        <v>97</v>
      </c>
      <c r="Z85" s="1">
        <v>1</v>
      </c>
    </row>
    <row r="86" spans="1:26" x14ac:dyDescent="0.15">
      <c r="A86" s="5">
        <v>12026</v>
      </c>
      <c r="B86" s="5" t="s">
        <v>1050</v>
      </c>
      <c r="C86" s="1">
        <v>2</v>
      </c>
      <c r="G86" s="7" t="s">
        <v>1052</v>
      </c>
      <c r="H86" s="1"/>
      <c r="I86" s="1" t="s">
        <v>1051</v>
      </c>
      <c r="K86" s="7" t="s">
        <v>1053</v>
      </c>
      <c r="P86" s="1" t="s">
        <v>216</v>
      </c>
      <c r="Z86" s="1">
        <v>1</v>
      </c>
    </row>
    <row r="87" spans="1:26" x14ac:dyDescent="0.15">
      <c r="A87" s="5">
        <v>12027</v>
      </c>
      <c r="B87" s="5" t="s">
        <v>1054</v>
      </c>
      <c r="C87" s="1">
        <v>2</v>
      </c>
      <c r="E87" s="7" t="s">
        <v>939</v>
      </c>
      <c r="G87" s="7" t="s">
        <v>1055</v>
      </c>
      <c r="H87" s="1"/>
      <c r="I87" s="1"/>
      <c r="K87" s="7" t="s">
        <v>1056</v>
      </c>
      <c r="P87" s="1" t="s">
        <v>219</v>
      </c>
      <c r="T87" s="1">
        <v>15000</v>
      </c>
      <c r="U87" s="1">
        <v>20001</v>
      </c>
      <c r="V87" s="1" t="s">
        <v>97</v>
      </c>
      <c r="Z87" s="1">
        <v>1</v>
      </c>
    </row>
    <row r="88" spans="1:26" ht="33" x14ac:dyDescent="0.15">
      <c r="A88" s="5">
        <v>12028</v>
      </c>
      <c r="B88" s="5" t="s">
        <v>1057</v>
      </c>
      <c r="C88" s="1">
        <v>2</v>
      </c>
      <c r="E88" s="7" t="s">
        <v>1058</v>
      </c>
      <c r="G88" s="7" t="s">
        <v>222</v>
      </c>
      <c r="H88" s="1"/>
      <c r="I88" s="7" t="s">
        <v>223</v>
      </c>
      <c r="P88" s="1" t="s">
        <v>224</v>
      </c>
      <c r="T88" s="1">
        <v>1500</v>
      </c>
      <c r="U88" s="1">
        <v>20001</v>
      </c>
      <c r="V88" s="1" t="s">
        <v>97</v>
      </c>
      <c r="Z88" s="1">
        <v>1</v>
      </c>
    </row>
    <row r="89" spans="1:26" x14ac:dyDescent="0.15">
      <c r="A89" s="5">
        <v>12029</v>
      </c>
      <c r="B89" s="5" t="s">
        <v>1054</v>
      </c>
      <c r="C89" s="1">
        <v>2</v>
      </c>
      <c r="E89" s="7" t="s">
        <v>105</v>
      </c>
      <c r="G89" s="7" t="s">
        <v>217</v>
      </c>
      <c r="H89" s="1"/>
      <c r="I89" s="1"/>
      <c r="K89" s="7" t="s">
        <v>225</v>
      </c>
      <c r="P89" s="1" t="s">
        <v>219</v>
      </c>
      <c r="T89" s="1">
        <v>15000</v>
      </c>
      <c r="U89" s="1">
        <v>20001</v>
      </c>
      <c r="V89" s="1" t="s">
        <v>97</v>
      </c>
      <c r="Z89" s="1">
        <v>1</v>
      </c>
    </row>
    <row r="90" spans="1:26" ht="33" x14ac:dyDescent="0.15">
      <c r="A90" s="5">
        <v>12030</v>
      </c>
      <c r="B90" s="5" t="s">
        <v>220</v>
      </c>
      <c r="C90" s="1">
        <v>2</v>
      </c>
      <c r="E90" s="7" t="s">
        <v>221</v>
      </c>
      <c r="G90" s="7" t="s">
        <v>226</v>
      </c>
      <c r="H90" s="1"/>
      <c r="I90" s="7" t="s">
        <v>227</v>
      </c>
      <c r="P90" s="1" t="s">
        <v>224</v>
      </c>
      <c r="T90" s="1">
        <v>1500</v>
      </c>
      <c r="U90" s="1">
        <v>20001</v>
      </c>
      <c r="V90" s="1" t="s">
        <v>97</v>
      </c>
      <c r="Z90" s="1">
        <v>1</v>
      </c>
    </row>
    <row r="91" spans="1:26" x14ac:dyDescent="0.15">
      <c r="A91" s="5">
        <v>12031</v>
      </c>
      <c r="B91" s="5" t="s">
        <v>1059</v>
      </c>
      <c r="C91" s="1">
        <v>2</v>
      </c>
      <c r="G91" s="1" t="s">
        <v>1060</v>
      </c>
      <c r="H91" s="1"/>
      <c r="I91" s="1"/>
      <c r="P91" s="1" t="s">
        <v>228</v>
      </c>
      <c r="T91" s="1">
        <v>15</v>
      </c>
      <c r="U91" s="1">
        <v>20303</v>
      </c>
      <c r="V91" s="1" t="s">
        <v>73</v>
      </c>
      <c r="Z91" s="1">
        <v>1</v>
      </c>
    </row>
    <row r="92" spans="1:26" x14ac:dyDescent="0.15">
      <c r="A92" s="5">
        <v>12032</v>
      </c>
      <c r="B92" s="5" t="s">
        <v>229</v>
      </c>
      <c r="C92" s="1">
        <v>2</v>
      </c>
      <c r="E92" s="7" t="s">
        <v>230</v>
      </c>
      <c r="G92" s="7" t="s">
        <v>231</v>
      </c>
      <c r="I92" s="7" t="s">
        <v>232</v>
      </c>
      <c r="M92" s="7" t="s">
        <v>233</v>
      </c>
      <c r="U92" s="1">
        <v>20001</v>
      </c>
      <c r="V92" s="1" t="s">
        <v>97</v>
      </c>
      <c r="Z92" s="1">
        <v>1</v>
      </c>
    </row>
    <row r="93" spans="1:26" x14ac:dyDescent="0.15">
      <c r="A93" s="5">
        <v>12033</v>
      </c>
      <c r="B93" s="5" t="s">
        <v>234</v>
      </c>
      <c r="C93" s="1">
        <v>2</v>
      </c>
      <c r="E93" s="7" t="s">
        <v>235</v>
      </c>
      <c r="G93" s="7" t="s">
        <v>236</v>
      </c>
      <c r="I93" s="7" t="s">
        <v>237</v>
      </c>
      <c r="M93" s="7" t="s">
        <v>238</v>
      </c>
      <c r="U93" s="1">
        <v>20001</v>
      </c>
      <c r="V93" s="1" t="s">
        <v>97</v>
      </c>
      <c r="Z93" s="1">
        <v>1</v>
      </c>
    </row>
    <row r="94" spans="1:26" x14ac:dyDescent="0.15">
      <c r="A94" s="5">
        <v>12034</v>
      </c>
      <c r="B94" s="5" t="s">
        <v>239</v>
      </c>
      <c r="C94" s="1">
        <v>2</v>
      </c>
      <c r="E94" s="7" t="s">
        <v>240</v>
      </c>
      <c r="G94" s="7" t="s">
        <v>241</v>
      </c>
      <c r="U94" s="1">
        <v>20001</v>
      </c>
      <c r="V94" s="1" t="s">
        <v>97</v>
      </c>
      <c r="Z94" s="1">
        <v>1</v>
      </c>
    </row>
    <row r="95" spans="1:26" x14ac:dyDescent="0.15">
      <c r="A95" s="5">
        <v>12035</v>
      </c>
      <c r="B95" s="5" t="s">
        <v>1061</v>
      </c>
      <c r="C95" s="1">
        <v>2</v>
      </c>
      <c r="G95" s="7" t="s">
        <v>1062</v>
      </c>
      <c r="K95" s="7" t="s">
        <v>1063</v>
      </c>
      <c r="S95" s="1">
        <v>35</v>
      </c>
      <c r="U95" s="1">
        <v>20302</v>
      </c>
      <c r="V95" s="1" t="s">
        <v>243</v>
      </c>
      <c r="Z95" s="1">
        <v>1</v>
      </c>
    </row>
    <row r="96" spans="1:26" x14ac:dyDescent="0.15">
      <c r="A96" s="5">
        <v>12036</v>
      </c>
      <c r="B96" s="5" t="s">
        <v>1064</v>
      </c>
      <c r="C96" s="1">
        <v>2</v>
      </c>
      <c r="E96" s="7" t="s">
        <v>1065</v>
      </c>
      <c r="G96" s="7" t="s">
        <v>1066</v>
      </c>
      <c r="K96" s="7" t="s">
        <v>1007</v>
      </c>
      <c r="T96" s="1">
        <v>20</v>
      </c>
      <c r="U96" s="1">
        <v>20203</v>
      </c>
      <c r="V96" s="1" t="s">
        <v>125</v>
      </c>
      <c r="Z96" s="1">
        <v>1</v>
      </c>
    </row>
    <row r="97" spans="1:26" x14ac:dyDescent="0.15">
      <c r="A97" s="5">
        <v>12037</v>
      </c>
      <c r="B97" s="5" t="s">
        <v>1067</v>
      </c>
      <c r="C97" s="1">
        <v>2</v>
      </c>
      <c r="G97" s="7" t="s">
        <v>1068</v>
      </c>
      <c r="U97" s="1">
        <v>20304</v>
      </c>
      <c r="V97" s="1" t="s">
        <v>244</v>
      </c>
      <c r="Z97" s="1">
        <v>1</v>
      </c>
    </row>
    <row r="98" spans="1:26" ht="33" x14ac:dyDescent="0.15">
      <c r="A98" s="5">
        <v>12038</v>
      </c>
      <c r="B98" s="5" t="s">
        <v>1069</v>
      </c>
      <c r="C98" s="1">
        <v>2</v>
      </c>
      <c r="E98" s="7" t="s">
        <v>245</v>
      </c>
      <c r="G98" s="7" t="s">
        <v>246</v>
      </c>
      <c r="I98" s="7" t="s">
        <v>247</v>
      </c>
      <c r="M98" s="7" t="s">
        <v>69</v>
      </c>
      <c r="S98" s="1">
        <v>60</v>
      </c>
      <c r="T98" s="1">
        <v>60</v>
      </c>
      <c r="U98" s="1">
        <v>20702</v>
      </c>
      <c r="V98" s="1" t="s">
        <v>114</v>
      </c>
      <c r="Z98" s="1">
        <v>1</v>
      </c>
    </row>
    <row r="99" spans="1:26" ht="33" x14ac:dyDescent="0.15">
      <c r="A99" s="5">
        <v>12039</v>
      </c>
      <c r="B99" s="5" t="s">
        <v>1070</v>
      </c>
      <c r="C99" s="1">
        <v>2</v>
      </c>
      <c r="E99" s="7" t="s">
        <v>1071</v>
      </c>
      <c r="G99" s="7" t="s">
        <v>1072</v>
      </c>
      <c r="K99" s="7" t="s">
        <v>1073</v>
      </c>
      <c r="P99" s="1" t="s">
        <v>249</v>
      </c>
      <c r="T99" s="1">
        <v>15000</v>
      </c>
      <c r="U99" s="1">
        <v>20001</v>
      </c>
      <c r="V99" s="1" t="s">
        <v>97</v>
      </c>
      <c r="Z99" s="1">
        <v>1</v>
      </c>
    </row>
    <row r="100" spans="1:26" x14ac:dyDescent="0.15">
      <c r="A100" s="5">
        <v>12040</v>
      </c>
      <c r="B100" s="5" t="s">
        <v>1074</v>
      </c>
      <c r="C100" s="1">
        <v>2</v>
      </c>
      <c r="G100" s="7" t="s">
        <v>250</v>
      </c>
      <c r="K100" s="7" t="s">
        <v>1075</v>
      </c>
      <c r="P100" s="1">
        <v>4</v>
      </c>
      <c r="T100" s="1">
        <v>50</v>
      </c>
      <c r="U100" s="1">
        <v>20306</v>
      </c>
      <c r="V100" s="1" t="s">
        <v>83</v>
      </c>
      <c r="Z100" s="1">
        <v>1</v>
      </c>
    </row>
    <row r="101" spans="1:26" x14ac:dyDescent="0.15">
      <c r="A101" s="5">
        <v>12041</v>
      </c>
      <c r="B101" s="5" t="s">
        <v>1076</v>
      </c>
      <c r="C101" s="1">
        <v>2</v>
      </c>
      <c r="E101" s="7" t="s">
        <v>1077</v>
      </c>
      <c r="G101" s="7" t="s">
        <v>1078</v>
      </c>
      <c r="K101" s="7" t="s">
        <v>1014</v>
      </c>
      <c r="T101" s="1">
        <v>50</v>
      </c>
      <c r="U101" s="1">
        <v>20306</v>
      </c>
      <c r="V101" s="1" t="s">
        <v>83</v>
      </c>
      <c r="Z101" s="1">
        <v>1</v>
      </c>
    </row>
    <row r="102" spans="1:26" x14ac:dyDescent="0.15">
      <c r="A102" s="5">
        <v>12042</v>
      </c>
      <c r="B102" s="5" t="s">
        <v>1079</v>
      </c>
      <c r="C102" s="1">
        <v>2</v>
      </c>
      <c r="G102" s="7" t="s">
        <v>1080</v>
      </c>
      <c r="K102" s="7" t="s">
        <v>1081</v>
      </c>
      <c r="T102" s="1">
        <v>25</v>
      </c>
      <c r="U102" s="1">
        <v>20203</v>
      </c>
      <c r="V102" s="1" t="s">
        <v>125</v>
      </c>
      <c r="Z102" s="1">
        <v>1</v>
      </c>
    </row>
    <row r="103" spans="1:26" ht="33" x14ac:dyDescent="0.15">
      <c r="A103" s="5">
        <v>12043</v>
      </c>
      <c r="B103" s="5" t="s">
        <v>1082</v>
      </c>
      <c r="C103" s="1">
        <v>2</v>
      </c>
      <c r="E103" s="7" t="s">
        <v>1083</v>
      </c>
      <c r="G103" s="7" t="s">
        <v>1085</v>
      </c>
      <c r="I103" s="7" t="s">
        <v>1084</v>
      </c>
      <c r="K103" s="7" t="s">
        <v>1014</v>
      </c>
      <c r="T103" s="1">
        <v>40</v>
      </c>
      <c r="U103" s="1">
        <v>20203</v>
      </c>
      <c r="V103" s="1" t="s">
        <v>125</v>
      </c>
      <c r="Z103" s="1">
        <v>1</v>
      </c>
    </row>
    <row r="104" spans="1:26" ht="33" x14ac:dyDescent="0.15">
      <c r="A104" s="5">
        <v>12044</v>
      </c>
      <c r="B104" s="5" t="s">
        <v>1086</v>
      </c>
      <c r="C104" s="1">
        <v>2</v>
      </c>
      <c r="G104" s="7" t="s">
        <v>1087</v>
      </c>
      <c r="P104" s="1" t="s">
        <v>252</v>
      </c>
      <c r="T104" s="1">
        <v>25</v>
      </c>
      <c r="U104" s="1">
        <v>20306</v>
      </c>
      <c r="V104" s="1" t="s">
        <v>83</v>
      </c>
      <c r="Z104" s="1">
        <v>1</v>
      </c>
    </row>
    <row r="105" spans="1:26" x14ac:dyDescent="0.15">
      <c r="A105" s="5">
        <v>12045</v>
      </c>
      <c r="B105" s="5" t="s">
        <v>1088</v>
      </c>
      <c r="C105" s="1">
        <v>2</v>
      </c>
      <c r="G105" s="7" t="s">
        <v>162</v>
      </c>
      <c r="I105" s="7" t="s">
        <v>1089</v>
      </c>
      <c r="K105" s="7" t="s">
        <v>960</v>
      </c>
      <c r="P105" s="1" t="s">
        <v>253</v>
      </c>
      <c r="T105" s="1">
        <v>20</v>
      </c>
      <c r="U105" s="1">
        <v>20306</v>
      </c>
      <c r="V105" s="1" t="s">
        <v>83</v>
      </c>
      <c r="Z105" s="1">
        <v>1</v>
      </c>
    </row>
    <row r="106" spans="1:26" x14ac:dyDescent="0.15">
      <c r="A106" s="5">
        <v>12046</v>
      </c>
      <c r="B106" s="5" t="s">
        <v>1090</v>
      </c>
      <c r="C106" s="1">
        <v>2</v>
      </c>
      <c r="E106" s="7" t="s">
        <v>1091</v>
      </c>
      <c r="G106" s="7" t="s">
        <v>254</v>
      </c>
      <c r="I106" s="7" t="s">
        <v>1092</v>
      </c>
      <c r="M106" s="7" t="s">
        <v>69</v>
      </c>
      <c r="P106" s="1" t="s">
        <v>255</v>
      </c>
      <c r="T106" s="1">
        <v>80</v>
      </c>
      <c r="U106" s="1">
        <v>20306</v>
      </c>
      <c r="V106" s="1" t="s">
        <v>83</v>
      </c>
      <c r="Z106" s="1">
        <v>1</v>
      </c>
    </row>
    <row r="107" spans="1:26" x14ac:dyDescent="0.15">
      <c r="A107" s="5">
        <v>12047</v>
      </c>
      <c r="B107" s="5" t="s">
        <v>1093</v>
      </c>
      <c r="C107" s="1">
        <v>2</v>
      </c>
      <c r="G107" s="7" t="s">
        <v>256</v>
      </c>
      <c r="P107" s="1" t="s">
        <v>181</v>
      </c>
      <c r="T107" s="1">
        <v>20</v>
      </c>
      <c r="U107" s="1">
        <v>20201</v>
      </c>
      <c r="V107" s="1" t="s">
        <v>61</v>
      </c>
      <c r="Z107" s="1">
        <v>1</v>
      </c>
    </row>
    <row r="108" spans="1:26" x14ac:dyDescent="0.15">
      <c r="A108" s="5">
        <v>12048</v>
      </c>
      <c r="C108" s="1">
        <v>2</v>
      </c>
      <c r="E108" s="7" t="s">
        <v>1094</v>
      </c>
      <c r="G108" s="7" t="s">
        <v>150</v>
      </c>
      <c r="K108" s="7" t="s">
        <v>1007</v>
      </c>
      <c r="P108" s="1" t="s">
        <v>257</v>
      </c>
      <c r="T108" s="1">
        <v>35</v>
      </c>
      <c r="U108" s="1">
        <v>20201</v>
      </c>
      <c r="V108" s="1" t="s">
        <v>61</v>
      </c>
      <c r="Z108" s="1">
        <v>1</v>
      </c>
    </row>
    <row r="109" spans="1:26" x14ac:dyDescent="0.15">
      <c r="A109" s="5">
        <v>12049</v>
      </c>
      <c r="B109" s="5" t="s">
        <v>1095</v>
      </c>
      <c r="C109" s="1">
        <v>2</v>
      </c>
      <c r="G109" s="7" t="s">
        <v>154</v>
      </c>
      <c r="I109" s="7" t="s">
        <v>1096</v>
      </c>
      <c r="P109" s="1" t="s">
        <v>216</v>
      </c>
      <c r="T109" s="1">
        <v>55</v>
      </c>
      <c r="U109" s="1">
        <v>20201</v>
      </c>
      <c r="V109" s="1" t="s">
        <v>61</v>
      </c>
      <c r="Z109" s="1">
        <v>1</v>
      </c>
    </row>
    <row r="110" spans="1:26" ht="33" x14ac:dyDescent="0.15">
      <c r="A110" s="5">
        <v>12050</v>
      </c>
      <c r="B110" s="5" t="s">
        <v>1097</v>
      </c>
      <c r="C110" s="1">
        <v>2</v>
      </c>
      <c r="E110" s="7" t="s">
        <v>1098</v>
      </c>
      <c r="G110" s="7" t="s">
        <v>1099</v>
      </c>
      <c r="M110" s="7" t="s">
        <v>69</v>
      </c>
      <c r="P110" s="1" t="s">
        <v>258</v>
      </c>
      <c r="T110" s="1">
        <v>40</v>
      </c>
      <c r="U110" s="1">
        <v>20201</v>
      </c>
      <c r="V110" s="1" t="s">
        <v>61</v>
      </c>
      <c r="Z110" s="1">
        <v>1</v>
      </c>
    </row>
    <row r="111" spans="1:26" ht="49.5" x14ac:dyDescent="0.15">
      <c r="A111" s="5">
        <v>12051</v>
      </c>
      <c r="B111" s="5" t="s">
        <v>1101</v>
      </c>
      <c r="C111" s="1">
        <v>2</v>
      </c>
      <c r="E111" s="7" t="s">
        <v>1100</v>
      </c>
      <c r="G111" s="7" t="s">
        <v>1102</v>
      </c>
      <c r="H111" s="1"/>
      <c r="I111" s="1"/>
      <c r="M111" s="7" t="s">
        <v>69</v>
      </c>
      <c r="P111" s="1" t="s">
        <v>159</v>
      </c>
      <c r="T111" s="1">
        <v>50</v>
      </c>
      <c r="U111" s="1">
        <v>20203</v>
      </c>
      <c r="V111" s="1" t="s">
        <v>125</v>
      </c>
      <c r="Z111" s="1">
        <v>1</v>
      </c>
    </row>
    <row r="112" spans="1:26" ht="33" x14ac:dyDescent="0.15">
      <c r="A112" s="5">
        <v>12052</v>
      </c>
      <c r="B112" s="5" t="s">
        <v>1103</v>
      </c>
      <c r="C112" s="1">
        <v>2</v>
      </c>
      <c r="G112" s="7" t="s">
        <v>1104</v>
      </c>
      <c r="M112" s="7" t="s">
        <v>132</v>
      </c>
      <c r="N112" s="1">
        <v>6</v>
      </c>
      <c r="O112" s="1">
        <v>4</v>
      </c>
      <c r="P112" s="1" t="s">
        <v>259</v>
      </c>
      <c r="T112" s="1">
        <v>35</v>
      </c>
      <c r="U112" s="1">
        <v>20307</v>
      </c>
      <c r="V112" s="1" t="s">
        <v>260</v>
      </c>
      <c r="Z112" s="1">
        <v>1</v>
      </c>
    </row>
    <row r="113" spans="1:26" x14ac:dyDescent="0.15">
      <c r="A113" s="5">
        <v>12053</v>
      </c>
      <c r="B113" s="5" t="s">
        <v>1105</v>
      </c>
      <c r="C113" s="1">
        <v>2</v>
      </c>
      <c r="G113" s="7" t="s">
        <v>154</v>
      </c>
      <c r="H113" s="1"/>
      <c r="I113" s="1"/>
      <c r="K113" s="7" t="s">
        <v>1107</v>
      </c>
      <c r="M113" s="7" t="s">
        <v>1106</v>
      </c>
      <c r="P113" s="1" t="s">
        <v>48</v>
      </c>
      <c r="S113" s="1">
        <v>30</v>
      </c>
      <c r="U113" s="1">
        <v>20507</v>
      </c>
      <c r="V113" s="1" t="s">
        <v>261</v>
      </c>
      <c r="Z113" s="1">
        <v>1</v>
      </c>
    </row>
    <row r="114" spans="1:26" x14ac:dyDescent="0.15">
      <c r="A114" s="5">
        <v>12054</v>
      </c>
      <c r="B114" s="5" t="s">
        <v>1108</v>
      </c>
      <c r="C114" s="1">
        <v>2</v>
      </c>
      <c r="G114" s="7" t="s">
        <v>1109</v>
      </c>
      <c r="H114" s="1"/>
      <c r="I114" s="1"/>
      <c r="K114" s="7" t="s">
        <v>1110</v>
      </c>
      <c r="O114" s="1">
        <v>1</v>
      </c>
      <c r="P114" s="1" t="s">
        <v>148</v>
      </c>
      <c r="T114" s="1">
        <v>50</v>
      </c>
      <c r="U114" s="1">
        <v>20507</v>
      </c>
      <c r="V114" s="1" t="s">
        <v>261</v>
      </c>
      <c r="Z114" s="1">
        <v>1</v>
      </c>
    </row>
    <row r="115" spans="1:26" ht="49.5" x14ac:dyDescent="0.15">
      <c r="A115" s="5">
        <v>12055</v>
      </c>
      <c r="C115" s="1">
        <v>2</v>
      </c>
      <c r="G115" s="7" t="s">
        <v>262</v>
      </c>
      <c r="H115" s="1"/>
      <c r="I115" s="1"/>
      <c r="K115" s="7" t="s">
        <v>263</v>
      </c>
      <c r="O115" s="1">
        <v>99</v>
      </c>
      <c r="P115" s="1" t="s">
        <v>264</v>
      </c>
      <c r="T115" s="1">
        <v>70</v>
      </c>
      <c r="U115" s="1">
        <v>20507</v>
      </c>
      <c r="V115" s="1" t="s">
        <v>261</v>
      </c>
      <c r="Z115" s="1">
        <v>1</v>
      </c>
    </row>
    <row r="116" spans="1:26" ht="33" x14ac:dyDescent="0.15">
      <c r="A116" s="5">
        <v>12056</v>
      </c>
      <c r="C116" s="1">
        <v>2</v>
      </c>
      <c r="G116" s="7" t="s">
        <v>265</v>
      </c>
      <c r="K116" s="7" t="s">
        <v>266</v>
      </c>
      <c r="M116" s="7" t="s">
        <v>132</v>
      </c>
      <c r="P116" s="1" t="s">
        <v>267</v>
      </c>
      <c r="S116" s="1">
        <v>20</v>
      </c>
      <c r="U116" s="1">
        <v>20507</v>
      </c>
      <c r="V116" s="1" t="s">
        <v>261</v>
      </c>
      <c r="Z116" s="1">
        <v>1</v>
      </c>
    </row>
    <row r="117" spans="1:26" x14ac:dyDescent="0.15">
      <c r="A117" s="5">
        <v>12057</v>
      </c>
      <c r="B117" s="5" t="s">
        <v>268</v>
      </c>
      <c r="C117" s="1">
        <v>2</v>
      </c>
      <c r="G117" s="1" t="s">
        <v>269</v>
      </c>
      <c r="H117" s="1"/>
      <c r="I117" s="1"/>
      <c r="K117" s="7" t="s">
        <v>270</v>
      </c>
      <c r="M117" s="7" t="s">
        <v>271</v>
      </c>
      <c r="O117" s="1">
        <v>99</v>
      </c>
      <c r="U117" s="1">
        <v>20001</v>
      </c>
      <c r="V117" s="1" t="s">
        <v>97</v>
      </c>
    </row>
    <row r="118" spans="1:26" ht="33" x14ac:dyDescent="0.15">
      <c r="A118" s="5">
        <v>12058</v>
      </c>
      <c r="B118" s="5" t="s">
        <v>272</v>
      </c>
      <c r="C118" s="1">
        <v>2</v>
      </c>
      <c r="G118" s="7" t="s">
        <v>273</v>
      </c>
      <c r="O118" s="1">
        <v>99</v>
      </c>
      <c r="U118" s="1">
        <v>20001</v>
      </c>
      <c r="V118" s="1" t="s">
        <v>97</v>
      </c>
    </row>
    <row r="119" spans="1:26" ht="33" x14ac:dyDescent="0.15">
      <c r="A119" s="5">
        <v>12059</v>
      </c>
      <c r="B119" s="5" t="s">
        <v>274</v>
      </c>
      <c r="C119" s="1">
        <v>2</v>
      </c>
      <c r="G119" s="7" t="s">
        <v>275</v>
      </c>
      <c r="H119" s="1"/>
      <c r="I119" s="1" t="s">
        <v>276</v>
      </c>
      <c r="O119" s="1">
        <v>99</v>
      </c>
      <c r="U119" s="1">
        <v>20001</v>
      </c>
      <c r="V119" s="1" t="s">
        <v>97</v>
      </c>
    </row>
    <row r="120" spans="1:26" x14ac:dyDescent="0.15">
      <c r="A120" s="5">
        <v>12060</v>
      </c>
      <c r="B120" s="5" t="s">
        <v>277</v>
      </c>
      <c r="C120" s="1">
        <v>2</v>
      </c>
      <c r="G120" s="7" t="s">
        <v>278</v>
      </c>
      <c r="H120" s="1"/>
      <c r="I120" s="1"/>
      <c r="M120" s="7" t="s">
        <v>279</v>
      </c>
      <c r="P120" s="1" t="s">
        <v>280</v>
      </c>
      <c r="T120" s="1">
        <v>45</v>
      </c>
      <c r="U120" s="1">
        <v>20303</v>
      </c>
      <c r="V120" s="1" t="s">
        <v>73</v>
      </c>
    </row>
    <row r="121" spans="1:26" x14ac:dyDescent="0.15">
      <c r="A121" s="5">
        <v>12061</v>
      </c>
      <c r="B121" s="5" t="s">
        <v>212</v>
      </c>
      <c r="C121" s="1">
        <v>2</v>
      </c>
      <c r="G121" s="7" t="s">
        <v>213</v>
      </c>
      <c r="I121" s="7" t="s">
        <v>281</v>
      </c>
      <c r="P121" s="1" t="s">
        <v>214</v>
      </c>
      <c r="U121" s="1">
        <v>20001</v>
      </c>
      <c r="V121" s="1" t="s">
        <v>97</v>
      </c>
    </row>
    <row r="122" spans="1:26" x14ac:dyDescent="0.15">
      <c r="A122" s="5">
        <v>12062</v>
      </c>
      <c r="B122" s="5" t="s">
        <v>212</v>
      </c>
      <c r="C122" s="1">
        <v>2</v>
      </c>
      <c r="E122" s="7" t="s">
        <v>282</v>
      </c>
      <c r="G122" s="7" t="s">
        <v>215</v>
      </c>
      <c r="H122" s="1"/>
      <c r="P122" s="1" t="s">
        <v>214</v>
      </c>
      <c r="U122" s="1">
        <v>20001</v>
      </c>
      <c r="V122" s="1" t="s">
        <v>97</v>
      </c>
    </row>
    <row r="123" spans="1:26" ht="33" x14ac:dyDescent="0.15">
      <c r="A123" s="5">
        <v>12063</v>
      </c>
      <c r="B123" s="5" t="s">
        <v>220</v>
      </c>
      <c r="C123" s="1">
        <v>2</v>
      </c>
      <c r="E123" s="7" t="s">
        <v>221</v>
      </c>
      <c r="G123" s="7" t="s">
        <v>222</v>
      </c>
      <c r="H123" s="1"/>
      <c r="I123" s="7" t="s">
        <v>223</v>
      </c>
      <c r="P123" s="1" t="s">
        <v>224</v>
      </c>
      <c r="U123" s="1">
        <v>20001</v>
      </c>
      <c r="V123" s="1" t="s">
        <v>97</v>
      </c>
    </row>
    <row r="124" spans="1:26" ht="33" x14ac:dyDescent="0.15">
      <c r="A124" s="5">
        <v>12064</v>
      </c>
      <c r="B124" s="5" t="s">
        <v>220</v>
      </c>
      <c r="C124" s="1">
        <v>2</v>
      </c>
      <c r="E124" s="7" t="s">
        <v>221</v>
      </c>
      <c r="G124" s="7" t="s">
        <v>226</v>
      </c>
      <c r="H124" s="1"/>
      <c r="I124" s="7" t="s">
        <v>227</v>
      </c>
      <c r="P124" s="1" t="s">
        <v>224</v>
      </c>
      <c r="U124" s="1">
        <v>20001</v>
      </c>
      <c r="V124" s="1" t="s">
        <v>97</v>
      </c>
    </row>
    <row r="125" spans="1:26" ht="33" x14ac:dyDescent="0.15">
      <c r="A125" s="5">
        <v>12065</v>
      </c>
      <c r="B125" s="5" t="s">
        <v>283</v>
      </c>
      <c r="C125" s="1">
        <v>2</v>
      </c>
      <c r="G125" s="7" t="s">
        <v>284</v>
      </c>
      <c r="H125" s="1"/>
      <c r="I125" s="1"/>
      <c r="K125" s="7" t="s">
        <v>285</v>
      </c>
      <c r="M125" s="7" t="s">
        <v>286</v>
      </c>
      <c r="N125" s="1">
        <v>3</v>
      </c>
      <c r="P125" s="1" t="s">
        <v>287</v>
      </c>
      <c r="T125" s="1">
        <v>40</v>
      </c>
      <c r="U125" s="1">
        <v>20501</v>
      </c>
      <c r="V125" s="1" t="s">
        <v>288</v>
      </c>
    </row>
    <row r="126" spans="1:26" x14ac:dyDescent="0.15">
      <c r="A126" s="5">
        <v>12066</v>
      </c>
      <c r="B126" s="5" t="s">
        <v>289</v>
      </c>
      <c r="C126" s="1">
        <v>2</v>
      </c>
      <c r="E126" s="7" t="s">
        <v>165</v>
      </c>
      <c r="G126" s="7" t="s">
        <v>250</v>
      </c>
      <c r="H126" s="1"/>
      <c r="I126" s="1" t="s">
        <v>290</v>
      </c>
      <c r="M126" s="7" t="s">
        <v>69</v>
      </c>
      <c r="P126" s="1" t="s">
        <v>291</v>
      </c>
      <c r="T126" s="1">
        <v>50</v>
      </c>
      <c r="U126" s="1">
        <v>20405</v>
      </c>
      <c r="V126" s="1" t="s">
        <v>292</v>
      </c>
    </row>
    <row r="127" spans="1:26" ht="33" x14ac:dyDescent="0.15">
      <c r="A127" s="5">
        <v>12067</v>
      </c>
      <c r="B127" s="5" t="s">
        <v>293</v>
      </c>
      <c r="C127" s="1">
        <v>2</v>
      </c>
      <c r="E127" s="7" t="s">
        <v>294</v>
      </c>
      <c r="G127" s="7" t="s">
        <v>295</v>
      </c>
      <c r="H127" s="1"/>
      <c r="I127" s="1"/>
      <c r="K127" s="7" t="s">
        <v>296</v>
      </c>
      <c r="M127" s="7" t="s">
        <v>297</v>
      </c>
      <c r="T127" s="1">
        <v>60</v>
      </c>
      <c r="U127" s="1">
        <v>20503</v>
      </c>
      <c r="V127" s="1" t="s">
        <v>298</v>
      </c>
    </row>
    <row r="128" spans="1:26" ht="33" x14ac:dyDescent="0.15">
      <c r="A128" s="5">
        <v>12068</v>
      </c>
      <c r="B128" s="5" t="s">
        <v>299</v>
      </c>
      <c r="C128" s="1">
        <v>2</v>
      </c>
      <c r="E128" s="7" t="s">
        <v>300</v>
      </c>
      <c r="G128" s="7" t="s">
        <v>301</v>
      </c>
      <c r="H128" s="1"/>
      <c r="I128" s="1"/>
      <c r="S128" s="1">
        <v>15</v>
      </c>
      <c r="T128" s="1">
        <v>15</v>
      </c>
      <c r="U128" s="1">
        <v>20503</v>
      </c>
      <c r="V128" s="1" t="s">
        <v>298</v>
      </c>
    </row>
    <row r="129" spans="1:26" x14ac:dyDescent="0.15">
      <c r="A129" s="5">
        <v>12069</v>
      </c>
      <c r="B129" s="5" t="s">
        <v>302</v>
      </c>
      <c r="C129" s="1">
        <v>2</v>
      </c>
      <c r="E129" s="7" t="s">
        <v>303</v>
      </c>
      <c r="G129" s="7" t="s">
        <v>154</v>
      </c>
      <c r="H129" s="1"/>
      <c r="I129" s="1" t="s">
        <v>304</v>
      </c>
      <c r="P129" s="1" t="s">
        <v>197</v>
      </c>
      <c r="T129" s="1">
        <v>40</v>
      </c>
      <c r="U129" s="1">
        <v>20503</v>
      </c>
      <c r="V129" s="1" t="s">
        <v>298</v>
      </c>
    </row>
    <row r="130" spans="1:26" x14ac:dyDescent="0.15">
      <c r="A130" s="5">
        <v>12070</v>
      </c>
      <c r="B130" s="6" t="s">
        <v>305</v>
      </c>
      <c r="C130" s="1">
        <v>2</v>
      </c>
      <c r="E130" s="7" t="s">
        <v>84</v>
      </c>
      <c r="G130" s="7" t="s">
        <v>85</v>
      </c>
      <c r="N130" s="1">
        <v>1</v>
      </c>
      <c r="O130" s="1">
        <v>0</v>
      </c>
      <c r="P130" s="1" t="s">
        <v>306</v>
      </c>
      <c r="Q130" s="9">
        <v>4</v>
      </c>
      <c r="R130" s="1">
        <v>3</v>
      </c>
      <c r="U130" s="1">
        <v>20101</v>
      </c>
      <c r="V130" s="1" t="s">
        <v>68</v>
      </c>
      <c r="Z130" s="1">
        <v>1</v>
      </c>
    </row>
    <row r="131" spans="1:26" ht="49.5" x14ac:dyDescent="0.15">
      <c r="A131" s="5">
        <v>12071</v>
      </c>
      <c r="B131" s="5" t="s">
        <v>307</v>
      </c>
      <c r="C131" s="1">
        <v>2</v>
      </c>
      <c r="E131" s="7" t="s">
        <v>308</v>
      </c>
      <c r="G131" s="7" t="s">
        <v>309</v>
      </c>
      <c r="M131" s="7" t="s">
        <v>310</v>
      </c>
      <c r="T131" s="1">
        <v>10</v>
      </c>
      <c r="U131" s="1">
        <v>20409</v>
      </c>
      <c r="V131" s="1" t="s">
        <v>311</v>
      </c>
    </row>
    <row r="132" spans="1:26" x14ac:dyDescent="0.15">
      <c r="A132" s="5">
        <v>12072</v>
      </c>
      <c r="C132" s="1">
        <v>2</v>
      </c>
      <c r="G132" s="7" t="s">
        <v>312</v>
      </c>
      <c r="H132" s="1"/>
      <c r="I132" s="1"/>
    </row>
    <row r="133" spans="1:26" x14ac:dyDescent="0.15">
      <c r="A133" s="5">
        <v>12073</v>
      </c>
      <c r="C133" s="1">
        <v>2</v>
      </c>
      <c r="G133" s="1" t="s">
        <v>313</v>
      </c>
      <c r="H133" s="1"/>
      <c r="I133" s="1"/>
    </row>
    <row r="134" spans="1:26" ht="33" x14ac:dyDescent="0.15">
      <c r="B134" s="5" t="s">
        <v>314</v>
      </c>
      <c r="G134" s="7" t="s">
        <v>315</v>
      </c>
      <c r="H134" s="1"/>
      <c r="I134" s="1" t="s">
        <v>316</v>
      </c>
      <c r="M134" s="7" t="s">
        <v>317</v>
      </c>
    </row>
    <row r="135" spans="1:26" ht="33" x14ac:dyDescent="0.15">
      <c r="B135" s="5" t="s">
        <v>318</v>
      </c>
      <c r="G135" s="7" t="s">
        <v>315</v>
      </c>
      <c r="H135" s="1"/>
      <c r="I135" s="1" t="s">
        <v>319</v>
      </c>
      <c r="M135" s="7" t="s">
        <v>317</v>
      </c>
    </row>
    <row r="136" spans="1:26" x14ac:dyDescent="0.15">
      <c r="G136" s="1"/>
      <c r="H136" s="1"/>
      <c r="I136" s="1"/>
    </row>
    <row r="137" spans="1:26" x14ac:dyDescent="0.15">
      <c r="G137" s="1"/>
      <c r="H137" s="1"/>
      <c r="I137" s="1"/>
    </row>
    <row r="138" spans="1:26" x14ac:dyDescent="0.15">
      <c r="G138" s="1"/>
      <c r="H138" s="1"/>
      <c r="I138" s="1"/>
    </row>
    <row r="139" spans="1:26" x14ac:dyDescent="0.15">
      <c r="A139" s="5">
        <v>13001</v>
      </c>
      <c r="B139" s="6" t="s">
        <v>320</v>
      </c>
      <c r="C139" s="1">
        <v>3</v>
      </c>
      <c r="G139" s="1" t="s">
        <v>321</v>
      </c>
      <c r="H139" s="1"/>
      <c r="I139" s="1"/>
      <c r="K139" s="7" t="s">
        <v>266</v>
      </c>
      <c r="N139" s="1">
        <v>1</v>
      </c>
      <c r="O139" s="1">
        <v>2</v>
      </c>
      <c r="P139" s="1" t="s">
        <v>148</v>
      </c>
      <c r="Q139" s="9" t="s">
        <v>149</v>
      </c>
      <c r="R139" s="1">
        <v>1</v>
      </c>
      <c r="S139" s="1">
        <v>10</v>
      </c>
      <c r="U139" s="1">
        <v>20101</v>
      </c>
      <c r="V139" s="1" t="s">
        <v>68</v>
      </c>
      <c r="Z139" s="1">
        <v>1</v>
      </c>
    </row>
    <row r="140" spans="1:26" x14ac:dyDescent="0.15">
      <c r="A140" s="5">
        <v>13002</v>
      </c>
      <c r="B140" s="6" t="s">
        <v>322</v>
      </c>
      <c r="C140" s="1">
        <v>3</v>
      </c>
      <c r="G140" s="1" t="s">
        <v>323</v>
      </c>
      <c r="H140" s="1"/>
      <c r="I140" s="1"/>
      <c r="K140" s="7" t="s">
        <v>324</v>
      </c>
      <c r="N140" s="1">
        <v>1</v>
      </c>
      <c r="O140" s="1">
        <v>4</v>
      </c>
      <c r="P140" s="1" t="s">
        <v>152</v>
      </c>
      <c r="Q140" s="9" t="s">
        <v>153</v>
      </c>
      <c r="R140" s="1">
        <v>1</v>
      </c>
      <c r="S140" s="1">
        <v>30</v>
      </c>
      <c r="U140" s="1">
        <v>20101</v>
      </c>
      <c r="V140" s="1" t="s">
        <v>68</v>
      </c>
      <c r="Z140" s="1">
        <v>1</v>
      </c>
    </row>
    <row r="141" spans="1:26" x14ac:dyDescent="0.15">
      <c r="A141" s="5">
        <v>13003</v>
      </c>
      <c r="B141" s="6" t="s">
        <v>325</v>
      </c>
      <c r="C141" s="1">
        <v>3</v>
      </c>
      <c r="G141" s="1" t="s">
        <v>326</v>
      </c>
      <c r="H141" s="1"/>
      <c r="I141" s="1"/>
      <c r="K141" s="7" t="s">
        <v>327</v>
      </c>
      <c r="N141" s="1">
        <v>1</v>
      </c>
      <c r="O141" s="1">
        <v>6</v>
      </c>
      <c r="P141" s="1" t="s">
        <v>156</v>
      </c>
      <c r="Q141" s="9" t="s">
        <v>157</v>
      </c>
      <c r="R141" s="1">
        <v>1</v>
      </c>
      <c r="S141" s="1">
        <v>90</v>
      </c>
      <c r="U141" s="1">
        <v>20101</v>
      </c>
      <c r="V141" s="1" t="s">
        <v>68</v>
      </c>
      <c r="Z141" s="1">
        <v>1</v>
      </c>
    </row>
    <row r="142" spans="1:26" x14ac:dyDescent="0.15">
      <c r="A142" s="5">
        <v>13004</v>
      </c>
      <c r="B142" s="6" t="s">
        <v>328</v>
      </c>
      <c r="C142" s="1">
        <v>3</v>
      </c>
      <c r="E142" s="7" t="s">
        <v>329</v>
      </c>
      <c r="G142" s="1" t="s">
        <v>321</v>
      </c>
      <c r="H142" s="1"/>
      <c r="I142" s="1"/>
      <c r="K142" s="7" t="s">
        <v>330</v>
      </c>
      <c r="N142" s="1">
        <v>1</v>
      </c>
      <c r="O142" s="1">
        <v>6</v>
      </c>
      <c r="P142" s="1" t="s">
        <v>159</v>
      </c>
      <c r="Q142" s="9" t="s">
        <v>160</v>
      </c>
      <c r="R142" s="1">
        <v>1</v>
      </c>
      <c r="S142" s="1">
        <v>9</v>
      </c>
      <c r="U142" s="1">
        <v>20101</v>
      </c>
      <c r="V142" s="1" t="s">
        <v>68</v>
      </c>
      <c r="Z142" s="1">
        <v>1</v>
      </c>
    </row>
    <row r="143" spans="1:26" x14ac:dyDescent="0.15">
      <c r="A143" s="5">
        <v>13005</v>
      </c>
      <c r="B143" s="6" t="s">
        <v>331</v>
      </c>
      <c r="C143" s="1">
        <v>3</v>
      </c>
      <c r="E143" s="7" t="s">
        <v>332</v>
      </c>
      <c r="G143" s="1" t="s">
        <v>333</v>
      </c>
      <c r="H143" s="1"/>
      <c r="I143" s="1"/>
      <c r="K143" s="7" t="s">
        <v>334</v>
      </c>
      <c r="N143" s="1">
        <v>1</v>
      </c>
      <c r="O143" s="1">
        <v>5</v>
      </c>
      <c r="P143" s="1" t="s">
        <v>163</v>
      </c>
      <c r="Q143" s="9" t="s">
        <v>164</v>
      </c>
      <c r="R143" s="1">
        <v>1</v>
      </c>
      <c r="S143" s="1">
        <v>20</v>
      </c>
      <c r="U143" s="1">
        <v>20101</v>
      </c>
      <c r="V143" s="1" t="s">
        <v>68</v>
      </c>
      <c r="Z143" s="1">
        <v>1</v>
      </c>
    </row>
    <row r="144" spans="1:26" x14ac:dyDescent="0.15">
      <c r="A144" s="5">
        <v>13006</v>
      </c>
      <c r="B144" s="6" t="s">
        <v>335</v>
      </c>
      <c r="C144" s="1">
        <v>3</v>
      </c>
      <c r="E144" s="7" t="s">
        <v>336</v>
      </c>
      <c r="G144" s="1" t="s">
        <v>337</v>
      </c>
      <c r="H144" s="1"/>
      <c r="I144" s="1"/>
      <c r="K144" s="7" t="s">
        <v>338</v>
      </c>
      <c r="N144" s="1">
        <v>1</v>
      </c>
      <c r="O144" s="1">
        <v>4</v>
      </c>
      <c r="P144" s="1" t="s">
        <v>167</v>
      </c>
      <c r="Q144" s="9" t="s">
        <v>168</v>
      </c>
      <c r="R144" s="1">
        <v>1</v>
      </c>
      <c r="S144" s="1">
        <v>49</v>
      </c>
      <c r="U144" s="1">
        <v>20101</v>
      </c>
      <c r="V144" s="1" t="s">
        <v>68</v>
      </c>
      <c r="Z144" s="1">
        <v>1</v>
      </c>
    </row>
    <row r="145" spans="1:26" x14ac:dyDescent="0.15">
      <c r="A145" s="5">
        <v>13007</v>
      </c>
      <c r="B145" s="5" t="s">
        <v>339</v>
      </c>
      <c r="C145" s="1">
        <v>3</v>
      </c>
      <c r="E145" s="1" t="s">
        <v>71</v>
      </c>
      <c r="F145" s="1"/>
      <c r="G145" s="1" t="s">
        <v>333</v>
      </c>
      <c r="H145" s="1"/>
      <c r="I145" s="1"/>
      <c r="K145" s="7" t="s">
        <v>242</v>
      </c>
      <c r="N145" s="1">
        <v>5</v>
      </c>
      <c r="O145" s="1">
        <v>4</v>
      </c>
      <c r="P145" s="1" t="s">
        <v>193</v>
      </c>
      <c r="Q145" s="9" t="s">
        <v>340</v>
      </c>
      <c r="R145" s="1">
        <v>1</v>
      </c>
      <c r="S145" s="1">
        <v>25</v>
      </c>
      <c r="U145" s="1">
        <v>20201</v>
      </c>
      <c r="V145" s="1" t="s">
        <v>61</v>
      </c>
      <c r="Z145" s="1">
        <v>1</v>
      </c>
    </row>
    <row r="146" spans="1:26" ht="49.5" x14ac:dyDescent="0.15">
      <c r="A146" s="5">
        <v>13008</v>
      </c>
      <c r="B146" s="6" t="s">
        <v>341</v>
      </c>
      <c r="C146" s="1">
        <v>3</v>
      </c>
      <c r="E146" s="7" t="s">
        <v>342</v>
      </c>
      <c r="G146" s="1" t="s">
        <v>323</v>
      </c>
      <c r="H146" s="1"/>
      <c r="I146" s="1"/>
      <c r="M146" s="7" t="s">
        <v>69</v>
      </c>
      <c r="N146" s="1">
        <v>2</v>
      </c>
      <c r="O146" s="1">
        <v>4</v>
      </c>
      <c r="P146" s="1" t="s">
        <v>343</v>
      </c>
      <c r="Q146" s="9" t="s">
        <v>344</v>
      </c>
      <c r="R146" s="1">
        <v>1</v>
      </c>
      <c r="S146" s="1">
        <v>50</v>
      </c>
      <c r="U146" s="1">
        <v>20201</v>
      </c>
      <c r="V146" s="1" t="s">
        <v>61</v>
      </c>
      <c r="Z146" s="1">
        <v>1</v>
      </c>
    </row>
    <row r="147" spans="1:26" x14ac:dyDescent="0.15">
      <c r="A147" s="5">
        <v>13009</v>
      </c>
      <c r="B147" s="6" t="s">
        <v>345</v>
      </c>
      <c r="C147" s="1">
        <v>3</v>
      </c>
      <c r="G147" s="1" t="s">
        <v>321</v>
      </c>
      <c r="H147" s="1"/>
      <c r="I147" s="1"/>
      <c r="K147" s="7" t="s">
        <v>218</v>
      </c>
      <c r="N147" s="1">
        <v>1</v>
      </c>
      <c r="O147" s="1">
        <v>4</v>
      </c>
      <c r="P147" s="1" t="s">
        <v>346</v>
      </c>
      <c r="Q147" s="9" t="s">
        <v>347</v>
      </c>
      <c r="R147" s="1">
        <v>1</v>
      </c>
      <c r="S147" s="1">
        <v>30</v>
      </c>
      <c r="U147" s="1">
        <v>20202</v>
      </c>
      <c r="V147" s="1" t="s">
        <v>50</v>
      </c>
      <c r="Z147" s="1">
        <v>1</v>
      </c>
    </row>
    <row r="148" spans="1:26" x14ac:dyDescent="0.15">
      <c r="A148" s="5">
        <v>13010</v>
      </c>
      <c r="B148" s="6" t="s">
        <v>348</v>
      </c>
      <c r="C148" s="1">
        <v>3</v>
      </c>
      <c r="G148" s="1" t="s">
        <v>321</v>
      </c>
      <c r="H148" s="1"/>
      <c r="I148" s="1"/>
      <c r="K148" s="7" t="s">
        <v>349</v>
      </c>
      <c r="N148" s="1">
        <v>1</v>
      </c>
      <c r="O148" s="1">
        <v>5</v>
      </c>
      <c r="P148" s="1" t="s">
        <v>350</v>
      </c>
      <c r="Q148" s="9" t="s">
        <v>351</v>
      </c>
      <c r="R148" s="1">
        <v>1</v>
      </c>
      <c r="S148" s="1">
        <v>20</v>
      </c>
      <c r="U148" s="1">
        <v>20202</v>
      </c>
      <c r="V148" s="1" t="s">
        <v>50</v>
      </c>
      <c r="Z148" s="1">
        <v>1</v>
      </c>
    </row>
    <row r="149" spans="1:26" x14ac:dyDescent="0.15">
      <c r="A149" s="5">
        <v>13011</v>
      </c>
      <c r="B149" s="5" t="s">
        <v>352</v>
      </c>
      <c r="C149" s="1">
        <v>3</v>
      </c>
      <c r="E149" s="7" t="s">
        <v>353</v>
      </c>
      <c r="G149" s="1" t="s">
        <v>354</v>
      </c>
      <c r="H149" s="1"/>
      <c r="I149" s="1"/>
      <c r="N149" s="1">
        <v>4</v>
      </c>
      <c r="O149" s="1">
        <v>6</v>
      </c>
      <c r="P149" s="1" t="s">
        <v>355</v>
      </c>
      <c r="Q149" s="9" t="s">
        <v>356</v>
      </c>
      <c r="R149" s="1">
        <v>1</v>
      </c>
      <c r="S149" s="1">
        <v>50</v>
      </c>
      <c r="U149" s="1">
        <v>20401</v>
      </c>
      <c r="V149" s="1" t="s">
        <v>172</v>
      </c>
      <c r="Z149" s="1">
        <v>1</v>
      </c>
    </row>
    <row r="150" spans="1:26" ht="33" x14ac:dyDescent="0.15">
      <c r="A150" s="5">
        <v>13012</v>
      </c>
      <c r="B150" s="5" t="s">
        <v>357</v>
      </c>
      <c r="C150" s="1">
        <v>3</v>
      </c>
      <c r="G150" s="7" t="s">
        <v>358</v>
      </c>
      <c r="K150" s="7" t="s">
        <v>359</v>
      </c>
      <c r="N150" s="1">
        <v>1</v>
      </c>
      <c r="O150" s="1">
        <v>99</v>
      </c>
      <c r="R150" s="1">
        <v>1</v>
      </c>
      <c r="U150" s="1">
        <v>20001</v>
      </c>
      <c r="V150" s="1" t="s">
        <v>97</v>
      </c>
      <c r="Z150" s="1">
        <v>0</v>
      </c>
    </row>
    <row r="151" spans="1:26" ht="33" x14ac:dyDescent="0.15">
      <c r="A151" s="5">
        <v>13013</v>
      </c>
      <c r="B151" s="6" t="s">
        <v>360</v>
      </c>
      <c r="C151" s="1">
        <v>3</v>
      </c>
      <c r="E151" s="1" t="s">
        <v>361</v>
      </c>
      <c r="F151" s="1"/>
      <c r="G151" s="7" t="s">
        <v>362</v>
      </c>
      <c r="M151" s="7" t="s">
        <v>69</v>
      </c>
      <c r="N151" s="1">
        <v>1</v>
      </c>
      <c r="O151" s="1">
        <v>6</v>
      </c>
      <c r="P151" s="1" t="s">
        <v>363</v>
      </c>
      <c r="Q151" s="9" t="s">
        <v>364</v>
      </c>
      <c r="R151" s="1">
        <v>1</v>
      </c>
      <c r="S151" s="1">
        <v>50</v>
      </c>
      <c r="U151" s="1">
        <v>20301</v>
      </c>
      <c r="V151" s="1" t="s">
        <v>56</v>
      </c>
      <c r="Z151" s="1">
        <v>1</v>
      </c>
    </row>
    <row r="152" spans="1:26" x14ac:dyDescent="0.15">
      <c r="A152" s="5">
        <v>13014</v>
      </c>
      <c r="B152" s="6" t="s">
        <v>365</v>
      </c>
      <c r="C152" s="1">
        <v>3</v>
      </c>
      <c r="E152" s="1" t="s">
        <v>366</v>
      </c>
      <c r="F152" s="1"/>
      <c r="G152" s="1" t="s">
        <v>323</v>
      </c>
      <c r="H152" s="1"/>
      <c r="I152" s="1"/>
      <c r="M152" s="7" t="s">
        <v>69</v>
      </c>
      <c r="O152" s="1">
        <v>6</v>
      </c>
      <c r="R152" s="1">
        <v>1</v>
      </c>
      <c r="S152" s="1">
        <v>40</v>
      </c>
      <c r="U152" s="1">
        <v>20301</v>
      </c>
      <c r="V152" s="1" t="s">
        <v>56</v>
      </c>
      <c r="Z152" s="1">
        <v>1</v>
      </c>
    </row>
    <row r="153" spans="1:26" x14ac:dyDescent="0.15">
      <c r="A153" s="5">
        <v>13015</v>
      </c>
      <c r="B153" s="6" t="s">
        <v>367</v>
      </c>
      <c r="C153" s="1">
        <v>3</v>
      </c>
      <c r="G153" s="7" t="s">
        <v>368</v>
      </c>
      <c r="O153" s="1">
        <v>14</v>
      </c>
      <c r="P153" s="1" t="s">
        <v>54</v>
      </c>
      <c r="R153" s="1">
        <v>1</v>
      </c>
      <c r="S153" s="1">
        <v>60</v>
      </c>
      <c r="U153" s="1">
        <v>20504</v>
      </c>
      <c r="V153" s="1" t="s">
        <v>369</v>
      </c>
      <c r="Z153" s="1">
        <v>1</v>
      </c>
    </row>
    <row r="154" spans="1:26" x14ac:dyDescent="0.15">
      <c r="A154" s="5">
        <v>13016</v>
      </c>
      <c r="B154" s="6" t="s">
        <v>370</v>
      </c>
      <c r="C154" s="1">
        <v>3</v>
      </c>
      <c r="E154" s="7" t="s">
        <v>84</v>
      </c>
      <c r="G154" s="7" t="s">
        <v>85</v>
      </c>
      <c r="N154" s="1">
        <v>1</v>
      </c>
      <c r="O154" s="1">
        <v>0</v>
      </c>
      <c r="P154" s="1" t="s">
        <v>371</v>
      </c>
      <c r="R154" s="1">
        <v>3</v>
      </c>
      <c r="U154" s="1">
        <v>20101</v>
      </c>
      <c r="V154" s="1" t="s">
        <v>68</v>
      </c>
      <c r="Z154" s="1">
        <v>1</v>
      </c>
    </row>
    <row r="155" spans="1:26" x14ac:dyDescent="0.15">
      <c r="A155" s="5">
        <v>13017</v>
      </c>
      <c r="B155" s="6" t="s">
        <v>372</v>
      </c>
      <c r="C155" s="1">
        <v>3</v>
      </c>
      <c r="G155" s="1" t="s">
        <v>373</v>
      </c>
      <c r="H155" s="1"/>
      <c r="I155" s="1"/>
      <c r="R155" s="1">
        <v>1</v>
      </c>
      <c r="S155" s="1">
        <v>20</v>
      </c>
      <c r="U155" s="1">
        <v>20401</v>
      </c>
      <c r="V155" s="1" t="s">
        <v>172</v>
      </c>
      <c r="Z155" s="1">
        <v>1</v>
      </c>
    </row>
    <row r="156" spans="1:26" x14ac:dyDescent="0.15">
      <c r="A156" s="5">
        <v>13018</v>
      </c>
      <c r="B156" s="6" t="s">
        <v>374</v>
      </c>
      <c r="C156" s="1">
        <v>3</v>
      </c>
      <c r="G156" s="7" t="s">
        <v>375</v>
      </c>
      <c r="K156" s="7" t="s">
        <v>129</v>
      </c>
      <c r="N156" s="1">
        <v>6</v>
      </c>
      <c r="R156" s="1">
        <v>1</v>
      </c>
      <c r="S156" s="1">
        <v>40</v>
      </c>
      <c r="U156" s="1">
        <v>20402</v>
      </c>
      <c r="V156" s="1" t="s">
        <v>376</v>
      </c>
      <c r="Z156" s="1">
        <v>1</v>
      </c>
    </row>
    <row r="157" spans="1:26" x14ac:dyDescent="0.15">
      <c r="A157" s="5">
        <v>13019</v>
      </c>
      <c r="B157" s="5" t="s">
        <v>377</v>
      </c>
      <c r="C157" s="1">
        <v>3</v>
      </c>
      <c r="G157" s="7" t="s">
        <v>378</v>
      </c>
      <c r="N157" s="1">
        <v>5</v>
      </c>
      <c r="R157" s="1">
        <v>1</v>
      </c>
      <c r="U157" s="1">
        <v>20402</v>
      </c>
      <c r="V157" s="1" t="s">
        <v>379</v>
      </c>
      <c r="Z157" s="1">
        <v>1</v>
      </c>
    </row>
    <row r="158" spans="1:26" ht="33" x14ac:dyDescent="0.15">
      <c r="A158" s="5">
        <v>13020</v>
      </c>
      <c r="B158" s="5" t="s">
        <v>380</v>
      </c>
      <c r="C158" s="1">
        <v>3</v>
      </c>
      <c r="G158" s="7" t="s">
        <v>375</v>
      </c>
      <c r="I158" s="7" t="s">
        <v>381</v>
      </c>
      <c r="R158" s="1">
        <v>1</v>
      </c>
      <c r="U158" s="1">
        <v>20601</v>
      </c>
      <c r="V158" s="1" t="s">
        <v>382</v>
      </c>
      <c r="Z158" s="1">
        <v>1</v>
      </c>
    </row>
    <row r="159" spans="1:26" ht="33" x14ac:dyDescent="0.15">
      <c r="A159" s="5">
        <v>13021</v>
      </c>
      <c r="B159" s="6" t="s">
        <v>383</v>
      </c>
      <c r="C159" s="1">
        <v>3</v>
      </c>
      <c r="E159" s="7" t="s">
        <v>384</v>
      </c>
      <c r="G159" s="7" t="s">
        <v>385</v>
      </c>
      <c r="M159" s="7" t="s">
        <v>386</v>
      </c>
      <c r="R159" s="1">
        <v>1</v>
      </c>
      <c r="S159" s="1">
        <v>100</v>
      </c>
      <c r="U159" s="1">
        <v>20404</v>
      </c>
      <c r="V159" s="1" t="s">
        <v>64</v>
      </c>
      <c r="Z159" s="1">
        <v>1</v>
      </c>
    </row>
    <row r="160" spans="1:26" x14ac:dyDescent="0.15">
      <c r="A160" s="5">
        <v>13022</v>
      </c>
      <c r="B160" s="5" t="s">
        <v>387</v>
      </c>
      <c r="C160" s="1">
        <v>3</v>
      </c>
      <c r="G160" s="7" t="s">
        <v>388</v>
      </c>
      <c r="K160" s="7" t="s">
        <v>266</v>
      </c>
      <c r="P160" s="1" t="s">
        <v>54</v>
      </c>
      <c r="R160" s="1">
        <v>1</v>
      </c>
      <c r="S160" s="1">
        <v>30</v>
      </c>
      <c r="U160" s="1">
        <v>20205</v>
      </c>
      <c r="V160" s="1" t="s">
        <v>124</v>
      </c>
      <c r="Z160" s="1">
        <v>1</v>
      </c>
    </row>
    <row r="161" spans="1:26" x14ac:dyDescent="0.15">
      <c r="A161" s="5">
        <v>13023</v>
      </c>
      <c r="B161" s="5" t="s">
        <v>389</v>
      </c>
      <c r="C161" s="1">
        <v>3</v>
      </c>
      <c r="R161" s="1">
        <v>1</v>
      </c>
      <c r="Z161" s="1">
        <v>1</v>
      </c>
    </row>
    <row r="162" spans="1:26" x14ac:dyDescent="0.15">
      <c r="A162" s="5">
        <v>13024</v>
      </c>
      <c r="B162" s="6" t="s">
        <v>390</v>
      </c>
      <c r="C162" s="1">
        <v>3</v>
      </c>
      <c r="G162" s="1" t="s">
        <v>321</v>
      </c>
      <c r="H162" s="1"/>
      <c r="I162" s="1"/>
      <c r="K162" s="7" t="s">
        <v>266</v>
      </c>
      <c r="N162" s="1">
        <v>1</v>
      </c>
      <c r="O162" s="1">
        <v>99</v>
      </c>
      <c r="R162" s="1">
        <v>1</v>
      </c>
      <c r="U162" s="1">
        <v>20001</v>
      </c>
      <c r="V162" s="1" t="s">
        <v>97</v>
      </c>
      <c r="Z162" s="1">
        <v>0</v>
      </c>
    </row>
    <row r="163" spans="1:26" x14ac:dyDescent="0.15">
      <c r="A163" s="5">
        <v>13025</v>
      </c>
      <c r="B163" s="5" t="s">
        <v>391</v>
      </c>
      <c r="C163" s="1">
        <v>3</v>
      </c>
      <c r="E163" s="1" t="s">
        <v>392</v>
      </c>
      <c r="G163" s="1" t="s">
        <v>393</v>
      </c>
      <c r="H163" s="1"/>
      <c r="K163" s="7" t="s">
        <v>324</v>
      </c>
      <c r="R163" s="1">
        <v>1</v>
      </c>
      <c r="S163" s="1">
        <v>55</v>
      </c>
      <c r="U163" s="1">
        <v>20506</v>
      </c>
      <c r="V163" s="1" t="s">
        <v>394</v>
      </c>
      <c r="Z163" s="1">
        <v>1</v>
      </c>
    </row>
    <row r="164" spans="1:26" x14ac:dyDescent="0.15">
      <c r="A164" s="5">
        <v>13026</v>
      </c>
      <c r="B164" s="5" t="s">
        <v>395</v>
      </c>
      <c r="C164" s="1">
        <v>3</v>
      </c>
      <c r="E164" s="7" t="s">
        <v>396</v>
      </c>
      <c r="R164" s="1">
        <v>1</v>
      </c>
      <c r="U164" s="1">
        <v>20506</v>
      </c>
      <c r="V164" s="1" t="s">
        <v>394</v>
      </c>
      <c r="Z164" s="1">
        <v>1</v>
      </c>
    </row>
    <row r="165" spans="1:26" x14ac:dyDescent="0.15">
      <c r="A165" s="5">
        <v>13027</v>
      </c>
      <c r="B165" s="6" t="s">
        <v>397</v>
      </c>
      <c r="C165" s="1">
        <v>3</v>
      </c>
      <c r="G165" s="7" t="s">
        <v>398</v>
      </c>
      <c r="K165" s="7" t="s">
        <v>266</v>
      </c>
      <c r="M165" s="7" t="s">
        <v>399</v>
      </c>
      <c r="P165" s="1" t="s">
        <v>400</v>
      </c>
      <c r="R165" s="1">
        <v>1</v>
      </c>
      <c r="S165" s="1">
        <v>50</v>
      </c>
      <c r="U165" s="1">
        <v>20404</v>
      </c>
      <c r="V165" s="1" t="s">
        <v>64</v>
      </c>
      <c r="Z165" s="1">
        <v>1</v>
      </c>
    </row>
    <row r="166" spans="1:26" x14ac:dyDescent="0.15">
      <c r="A166" s="5">
        <v>13028</v>
      </c>
      <c r="B166" s="5" t="s">
        <v>401</v>
      </c>
      <c r="C166" s="1">
        <v>3</v>
      </c>
      <c r="E166" s="7" t="s">
        <v>366</v>
      </c>
      <c r="G166" s="7" t="s">
        <v>402</v>
      </c>
      <c r="K166" s="7" t="s">
        <v>403</v>
      </c>
      <c r="P166" s="1" t="s">
        <v>404</v>
      </c>
      <c r="R166" s="1">
        <v>1</v>
      </c>
      <c r="S166" s="1">
        <v>80</v>
      </c>
      <c r="U166" s="1">
        <v>20404</v>
      </c>
      <c r="V166" s="1" t="s">
        <v>64</v>
      </c>
      <c r="Z166" s="1">
        <v>1</v>
      </c>
    </row>
    <row r="167" spans="1:26" x14ac:dyDescent="0.15">
      <c r="A167" s="5">
        <v>13029</v>
      </c>
      <c r="B167" s="6" t="s">
        <v>405</v>
      </c>
      <c r="C167" s="1">
        <v>3</v>
      </c>
      <c r="G167" s="1" t="s">
        <v>406</v>
      </c>
      <c r="H167" s="1"/>
      <c r="I167" s="1"/>
      <c r="K167" s="7" t="s">
        <v>242</v>
      </c>
      <c r="O167" s="1">
        <v>3</v>
      </c>
      <c r="P167" s="1" t="s">
        <v>407</v>
      </c>
      <c r="S167" s="1">
        <v>30</v>
      </c>
      <c r="U167" s="1">
        <v>20202</v>
      </c>
      <c r="V167" s="1" t="s">
        <v>50</v>
      </c>
      <c r="Z167" s="1">
        <v>1</v>
      </c>
    </row>
    <row r="168" spans="1:26" x14ac:dyDescent="0.15">
      <c r="A168" s="5">
        <v>13030</v>
      </c>
      <c r="B168" s="6" t="s">
        <v>408</v>
      </c>
      <c r="C168" s="1">
        <v>3</v>
      </c>
      <c r="G168" s="7" t="s">
        <v>409</v>
      </c>
      <c r="K168" s="7" t="s">
        <v>266</v>
      </c>
      <c r="O168" s="1">
        <v>3</v>
      </c>
      <c r="P168" s="1" t="s">
        <v>228</v>
      </c>
      <c r="S168" s="1">
        <v>40</v>
      </c>
      <c r="U168" s="1">
        <v>20202</v>
      </c>
      <c r="V168" s="1" t="s">
        <v>50</v>
      </c>
      <c r="Z168" s="1">
        <v>1</v>
      </c>
    </row>
    <row r="169" spans="1:26" x14ac:dyDescent="0.15">
      <c r="A169" s="5">
        <v>13031</v>
      </c>
      <c r="B169" s="6" t="s">
        <v>410</v>
      </c>
      <c r="C169" s="1">
        <v>3</v>
      </c>
      <c r="E169" s="7" t="s">
        <v>411</v>
      </c>
      <c r="G169" s="7" t="s">
        <v>326</v>
      </c>
      <c r="K169" s="7" t="s">
        <v>412</v>
      </c>
      <c r="M169" s="7" t="s">
        <v>69</v>
      </c>
      <c r="P169" s="1" t="s">
        <v>413</v>
      </c>
      <c r="S169" s="1">
        <v>50</v>
      </c>
      <c r="U169" s="1">
        <v>20202</v>
      </c>
      <c r="V169" s="1" t="s">
        <v>50</v>
      </c>
      <c r="Z169" s="1">
        <v>1</v>
      </c>
    </row>
    <row r="170" spans="1:26" x14ac:dyDescent="0.15">
      <c r="A170" s="5">
        <v>13032</v>
      </c>
      <c r="B170" s="6" t="s">
        <v>414</v>
      </c>
      <c r="C170" s="1">
        <v>3</v>
      </c>
      <c r="E170" s="7" t="s">
        <v>366</v>
      </c>
      <c r="G170" s="1" t="s">
        <v>415</v>
      </c>
      <c r="H170" s="1"/>
      <c r="I170" s="1"/>
      <c r="M170" s="7" t="s">
        <v>69</v>
      </c>
      <c r="S170" s="1">
        <v>35</v>
      </c>
      <c r="U170" s="1">
        <v>20202</v>
      </c>
      <c r="V170" s="1" t="s">
        <v>50</v>
      </c>
      <c r="Z170" s="1">
        <v>1</v>
      </c>
    </row>
    <row r="171" spans="1:26" x14ac:dyDescent="0.15">
      <c r="A171" s="5">
        <v>13033</v>
      </c>
      <c r="B171" s="6" t="s">
        <v>416</v>
      </c>
      <c r="C171" s="1">
        <v>3</v>
      </c>
      <c r="G171" s="7" t="s">
        <v>417</v>
      </c>
      <c r="K171" s="7" t="s">
        <v>266</v>
      </c>
      <c r="P171" s="1" t="s">
        <v>224</v>
      </c>
      <c r="S171" s="1">
        <v>20</v>
      </c>
      <c r="U171" s="1">
        <v>20202</v>
      </c>
      <c r="V171" s="1" t="s">
        <v>50</v>
      </c>
      <c r="Z171" s="1">
        <v>1</v>
      </c>
    </row>
    <row r="172" spans="1:26" x14ac:dyDescent="0.15">
      <c r="A172" s="5">
        <v>13034</v>
      </c>
      <c r="C172" s="1">
        <v>3</v>
      </c>
      <c r="G172" s="7" t="s">
        <v>418</v>
      </c>
      <c r="K172" s="7" t="s">
        <v>419</v>
      </c>
      <c r="P172" s="1" t="s">
        <v>185</v>
      </c>
      <c r="R172" s="1">
        <v>1</v>
      </c>
      <c r="U172" s="1">
        <v>20401</v>
      </c>
      <c r="V172" s="1" t="s">
        <v>172</v>
      </c>
      <c r="Z172" s="1">
        <v>1</v>
      </c>
    </row>
    <row r="173" spans="1:26" x14ac:dyDescent="0.15">
      <c r="A173" s="5">
        <v>13035</v>
      </c>
      <c r="C173" s="1">
        <v>3</v>
      </c>
      <c r="E173" s="7" t="s">
        <v>420</v>
      </c>
      <c r="G173" s="1" t="s">
        <v>337</v>
      </c>
      <c r="I173" s="7" t="s">
        <v>421</v>
      </c>
      <c r="U173" s="1">
        <v>20505</v>
      </c>
      <c r="V173" s="1" t="s">
        <v>211</v>
      </c>
      <c r="Z173" s="1">
        <v>1</v>
      </c>
    </row>
    <row r="174" spans="1:26" x14ac:dyDescent="0.15">
      <c r="A174" s="5">
        <v>13036</v>
      </c>
      <c r="B174" s="5" t="s">
        <v>422</v>
      </c>
      <c r="C174" s="1">
        <v>3</v>
      </c>
      <c r="G174" s="1" t="s">
        <v>423</v>
      </c>
      <c r="P174" s="1" t="s">
        <v>424</v>
      </c>
      <c r="S174" s="1">
        <v>50</v>
      </c>
      <c r="U174" s="1">
        <v>20701</v>
      </c>
      <c r="V174" s="1" t="s">
        <v>174</v>
      </c>
      <c r="Z174" s="1">
        <v>1</v>
      </c>
    </row>
    <row r="175" spans="1:26" x14ac:dyDescent="0.15">
      <c r="A175" s="5">
        <v>13037</v>
      </c>
      <c r="C175" s="1">
        <v>3</v>
      </c>
      <c r="E175" s="7" t="s">
        <v>425</v>
      </c>
      <c r="G175" s="1" t="s">
        <v>426</v>
      </c>
      <c r="U175" s="1">
        <v>20505</v>
      </c>
      <c r="V175" s="1" t="s">
        <v>211</v>
      </c>
      <c r="Z175" s="1">
        <v>1</v>
      </c>
    </row>
    <row r="176" spans="1:26" ht="33" x14ac:dyDescent="0.15">
      <c r="A176" s="5">
        <v>13038</v>
      </c>
      <c r="B176" s="5" t="s">
        <v>427</v>
      </c>
      <c r="C176" s="1">
        <v>3</v>
      </c>
      <c r="G176" s="1" t="s">
        <v>428</v>
      </c>
      <c r="I176" s="7" t="s">
        <v>429</v>
      </c>
      <c r="O176" s="1">
        <v>99</v>
      </c>
      <c r="P176" s="1" t="s">
        <v>430</v>
      </c>
      <c r="R176" s="1">
        <v>1</v>
      </c>
      <c r="T176" s="1">
        <v>500</v>
      </c>
      <c r="U176" s="1">
        <v>20001</v>
      </c>
      <c r="V176" s="1" t="s">
        <v>97</v>
      </c>
      <c r="Z176" s="1">
        <v>0</v>
      </c>
    </row>
    <row r="177" spans="1:26" ht="33" x14ac:dyDescent="0.15">
      <c r="A177" s="5">
        <v>13039</v>
      </c>
      <c r="B177" s="5" t="s">
        <v>431</v>
      </c>
      <c r="C177" s="1">
        <v>3</v>
      </c>
      <c r="E177" s="7" t="s">
        <v>432</v>
      </c>
      <c r="G177" s="1" t="s">
        <v>433</v>
      </c>
      <c r="M177" s="7" t="s">
        <v>434</v>
      </c>
      <c r="S177" s="1">
        <v>55</v>
      </c>
      <c r="U177" s="1">
        <v>20404</v>
      </c>
      <c r="V177" s="1" t="s">
        <v>64</v>
      </c>
      <c r="Z177" s="1">
        <v>1</v>
      </c>
    </row>
    <row r="178" spans="1:26" ht="33" x14ac:dyDescent="0.15">
      <c r="A178" s="5">
        <v>13040</v>
      </c>
      <c r="B178" s="5" t="s">
        <v>435</v>
      </c>
      <c r="C178" s="1">
        <v>3</v>
      </c>
      <c r="E178" s="7" t="s">
        <v>436</v>
      </c>
      <c r="G178" s="1" t="s">
        <v>333</v>
      </c>
      <c r="K178" s="7" t="s">
        <v>437</v>
      </c>
      <c r="M178" s="7" t="s">
        <v>438</v>
      </c>
      <c r="U178" s="1">
        <v>20504</v>
      </c>
      <c r="V178" s="1" t="s">
        <v>369</v>
      </c>
      <c r="Z178" s="1">
        <v>1</v>
      </c>
    </row>
    <row r="179" spans="1:26" x14ac:dyDescent="0.15">
      <c r="A179" s="5">
        <v>13041</v>
      </c>
      <c r="B179" s="5" t="s">
        <v>439</v>
      </c>
      <c r="C179" s="1">
        <v>3</v>
      </c>
      <c r="G179" s="1" t="s">
        <v>440</v>
      </c>
      <c r="K179" s="7" t="s">
        <v>266</v>
      </c>
      <c r="M179" s="7" t="s">
        <v>441</v>
      </c>
      <c r="O179" s="1">
        <v>7</v>
      </c>
      <c r="P179" s="1" t="s">
        <v>442</v>
      </c>
      <c r="S179" s="1">
        <v>35</v>
      </c>
      <c r="U179" s="1">
        <v>20305</v>
      </c>
      <c r="V179" s="1" t="s">
        <v>76</v>
      </c>
      <c r="Z179" s="1">
        <v>1</v>
      </c>
    </row>
    <row r="180" spans="1:26" x14ac:dyDescent="0.15">
      <c r="A180" s="5">
        <v>13042</v>
      </c>
      <c r="B180" s="5" t="s">
        <v>443</v>
      </c>
      <c r="C180" s="1">
        <v>3</v>
      </c>
      <c r="G180" s="1" t="s">
        <v>444</v>
      </c>
      <c r="M180" s="7" t="s">
        <v>445</v>
      </c>
      <c r="O180" s="1">
        <v>7</v>
      </c>
      <c r="P180" s="1" t="s">
        <v>446</v>
      </c>
      <c r="S180" s="1">
        <v>50</v>
      </c>
      <c r="U180" s="1">
        <v>20305</v>
      </c>
      <c r="V180" s="1" t="s">
        <v>76</v>
      </c>
      <c r="Z180" s="1">
        <v>1</v>
      </c>
    </row>
    <row r="181" spans="1:26" x14ac:dyDescent="0.15">
      <c r="A181" s="5">
        <v>13043</v>
      </c>
      <c r="B181" s="5" t="s">
        <v>427</v>
      </c>
      <c r="C181" s="1">
        <v>3</v>
      </c>
      <c r="G181" s="1" t="s">
        <v>447</v>
      </c>
      <c r="I181" s="7" t="s">
        <v>448</v>
      </c>
      <c r="O181" s="1">
        <v>99</v>
      </c>
      <c r="P181" s="1" t="s">
        <v>430</v>
      </c>
      <c r="T181" s="1">
        <v>500</v>
      </c>
      <c r="U181" s="1">
        <v>20001</v>
      </c>
      <c r="V181" s="1" t="s">
        <v>97</v>
      </c>
      <c r="Z181" s="1">
        <v>0</v>
      </c>
    </row>
    <row r="182" spans="1:26" x14ac:dyDescent="0.15">
      <c r="A182" s="5">
        <v>13044</v>
      </c>
      <c r="B182" s="5" t="s">
        <v>449</v>
      </c>
      <c r="C182" s="1">
        <v>3</v>
      </c>
      <c r="G182" s="1" t="s">
        <v>393</v>
      </c>
      <c r="I182" s="7" t="s">
        <v>450</v>
      </c>
      <c r="O182" s="1">
        <v>99</v>
      </c>
      <c r="P182" s="1" t="s">
        <v>451</v>
      </c>
      <c r="Q182" t="s">
        <v>452</v>
      </c>
      <c r="T182" s="1">
        <v>500</v>
      </c>
      <c r="U182" s="1">
        <v>20001</v>
      </c>
      <c r="V182" s="1" t="s">
        <v>97</v>
      </c>
      <c r="Z182" s="1">
        <v>1</v>
      </c>
    </row>
    <row r="183" spans="1:26" x14ac:dyDescent="0.15">
      <c r="A183" s="5">
        <v>13045</v>
      </c>
      <c r="B183" s="5" t="s">
        <v>449</v>
      </c>
      <c r="C183" s="1">
        <v>3</v>
      </c>
      <c r="G183" s="1" t="s">
        <v>385</v>
      </c>
      <c r="I183" s="7" t="s">
        <v>450</v>
      </c>
      <c r="O183" s="1">
        <v>99</v>
      </c>
      <c r="P183" s="1" t="s">
        <v>451</v>
      </c>
      <c r="Q183" t="s">
        <v>452</v>
      </c>
      <c r="T183" s="1">
        <v>500</v>
      </c>
      <c r="U183" s="1">
        <v>20001</v>
      </c>
      <c r="V183" s="1" t="s">
        <v>97</v>
      </c>
      <c r="Z183" s="1">
        <v>1</v>
      </c>
    </row>
    <row r="184" spans="1:26" ht="33" x14ac:dyDescent="0.15">
      <c r="A184" s="5">
        <v>13046</v>
      </c>
      <c r="B184" s="6" t="s">
        <v>453</v>
      </c>
      <c r="C184" s="1">
        <v>3</v>
      </c>
      <c r="E184" s="7" t="s">
        <v>454</v>
      </c>
      <c r="G184" s="1" t="s">
        <v>398</v>
      </c>
      <c r="K184" s="7" t="s">
        <v>455</v>
      </c>
      <c r="M184" s="7" t="s">
        <v>456</v>
      </c>
      <c r="N184" s="1">
        <v>2</v>
      </c>
      <c r="O184" s="1">
        <v>12</v>
      </c>
      <c r="U184" s="1">
        <v>20701</v>
      </c>
      <c r="V184" s="1" t="s">
        <v>174</v>
      </c>
      <c r="Z184" s="1">
        <v>1</v>
      </c>
    </row>
    <row r="185" spans="1:26" x14ac:dyDescent="0.15">
      <c r="A185" s="5">
        <v>13047</v>
      </c>
      <c r="B185" s="5" t="s">
        <v>457</v>
      </c>
      <c r="C185" s="1">
        <v>3</v>
      </c>
      <c r="G185" s="1" t="s">
        <v>426</v>
      </c>
      <c r="I185" s="7" t="s">
        <v>458</v>
      </c>
      <c r="P185" s="1" t="s">
        <v>459</v>
      </c>
      <c r="S185" s="1">
        <v>15</v>
      </c>
      <c r="U185" s="1">
        <v>20202</v>
      </c>
      <c r="V185" s="1" t="s">
        <v>50</v>
      </c>
      <c r="Z185" s="1">
        <v>1</v>
      </c>
    </row>
    <row r="186" spans="1:26" ht="33" x14ac:dyDescent="0.15">
      <c r="A186" s="5">
        <v>13048</v>
      </c>
      <c r="B186" s="5" t="s">
        <v>460</v>
      </c>
      <c r="C186" s="1">
        <v>3</v>
      </c>
      <c r="E186" s="7" t="s">
        <v>336</v>
      </c>
      <c r="G186" s="7" t="s">
        <v>461</v>
      </c>
      <c r="K186" s="7" t="s">
        <v>462</v>
      </c>
      <c r="M186" s="7" t="s">
        <v>69</v>
      </c>
      <c r="P186" s="1" t="s">
        <v>463</v>
      </c>
      <c r="S186" s="1">
        <v>44</v>
      </c>
      <c r="U186" s="1">
        <v>20202</v>
      </c>
      <c r="V186" s="1" t="s">
        <v>50</v>
      </c>
      <c r="Z186" s="1">
        <v>1</v>
      </c>
    </row>
    <row r="187" spans="1:26" x14ac:dyDescent="0.15">
      <c r="A187" s="5">
        <v>13049</v>
      </c>
      <c r="B187" s="5" t="s">
        <v>464</v>
      </c>
      <c r="C187" s="1">
        <v>3</v>
      </c>
      <c r="G187" s="7" t="s">
        <v>398</v>
      </c>
      <c r="K187" s="7" t="s">
        <v>465</v>
      </c>
      <c r="N187" s="1">
        <v>2</v>
      </c>
      <c r="S187" s="1">
        <v>50</v>
      </c>
      <c r="U187" s="1">
        <v>20702</v>
      </c>
      <c r="V187" s="1" t="s">
        <v>114</v>
      </c>
      <c r="Z187" s="1">
        <v>1</v>
      </c>
    </row>
    <row r="188" spans="1:26" x14ac:dyDescent="0.15">
      <c r="A188" s="5">
        <v>13050</v>
      </c>
      <c r="B188" s="5" t="s">
        <v>466</v>
      </c>
      <c r="C188" s="1">
        <v>3</v>
      </c>
      <c r="G188" s="7" t="s">
        <v>323</v>
      </c>
      <c r="K188" s="7" t="s">
        <v>465</v>
      </c>
      <c r="N188" s="1">
        <v>2</v>
      </c>
      <c r="S188" s="1">
        <v>45</v>
      </c>
      <c r="U188" s="1">
        <v>20401</v>
      </c>
      <c r="V188" s="1" t="s">
        <v>172</v>
      </c>
      <c r="Z188" s="1">
        <v>1</v>
      </c>
    </row>
    <row r="189" spans="1:26" ht="33" x14ac:dyDescent="0.15">
      <c r="A189" s="5">
        <v>13051</v>
      </c>
      <c r="B189" s="5" t="s">
        <v>467</v>
      </c>
      <c r="C189" s="1">
        <v>3</v>
      </c>
      <c r="G189" s="7" t="s">
        <v>468</v>
      </c>
      <c r="K189" s="7" t="s">
        <v>469</v>
      </c>
      <c r="U189" s="1">
        <v>20401</v>
      </c>
      <c r="V189" s="1" t="s">
        <v>172</v>
      </c>
      <c r="Z189" s="1">
        <v>1</v>
      </c>
    </row>
    <row r="190" spans="1:26" x14ac:dyDescent="0.15">
      <c r="A190" s="5">
        <v>13052</v>
      </c>
      <c r="B190" s="5" t="s">
        <v>470</v>
      </c>
      <c r="C190" s="1">
        <v>3</v>
      </c>
      <c r="E190" s="7" t="s">
        <v>74</v>
      </c>
      <c r="G190" s="7" t="s">
        <v>471</v>
      </c>
      <c r="S190" s="1">
        <v>35</v>
      </c>
      <c r="U190" s="1">
        <v>20202</v>
      </c>
      <c r="V190" s="1" t="s">
        <v>50</v>
      </c>
      <c r="Z190" s="1">
        <v>1</v>
      </c>
    </row>
    <row r="191" spans="1:26" x14ac:dyDescent="0.15">
      <c r="A191" s="5">
        <v>13053</v>
      </c>
      <c r="B191" s="5" t="s">
        <v>472</v>
      </c>
      <c r="C191" s="1">
        <v>3</v>
      </c>
      <c r="G191" s="7" t="s">
        <v>473</v>
      </c>
      <c r="M191" s="7" t="s">
        <v>474</v>
      </c>
      <c r="P191" s="1" t="s">
        <v>228</v>
      </c>
      <c r="S191" s="1">
        <v>10</v>
      </c>
      <c r="U191" s="1">
        <v>20201</v>
      </c>
      <c r="V191" s="1" t="s">
        <v>61</v>
      </c>
      <c r="Z191" s="1">
        <v>1</v>
      </c>
    </row>
    <row r="192" spans="1:26" x14ac:dyDescent="0.15">
      <c r="A192" s="5">
        <v>13054</v>
      </c>
      <c r="B192" s="5" t="s">
        <v>475</v>
      </c>
      <c r="C192" s="1">
        <v>3</v>
      </c>
      <c r="G192" s="7" t="s">
        <v>398</v>
      </c>
      <c r="M192" s="7" t="s">
        <v>476</v>
      </c>
      <c r="P192" s="1" t="s">
        <v>424</v>
      </c>
      <c r="S192" s="1">
        <v>60</v>
      </c>
      <c r="U192" s="1">
        <v>20305</v>
      </c>
      <c r="V192" s="1" t="s">
        <v>76</v>
      </c>
      <c r="Z192" s="1">
        <v>1</v>
      </c>
    </row>
    <row r="193" spans="1:26" x14ac:dyDescent="0.15">
      <c r="A193" s="5">
        <v>13055</v>
      </c>
      <c r="B193" s="5" t="s">
        <v>477</v>
      </c>
      <c r="C193" s="1">
        <v>3</v>
      </c>
      <c r="E193" s="7" t="s">
        <v>478</v>
      </c>
      <c r="G193" s="7" t="s">
        <v>479</v>
      </c>
      <c r="K193" s="7" t="s">
        <v>480</v>
      </c>
      <c r="S193" s="1">
        <v>50</v>
      </c>
      <c r="U193" s="1">
        <v>20202</v>
      </c>
      <c r="V193" s="1" t="s">
        <v>50</v>
      </c>
      <c r="Z193" s="1">
        <v>1</v>
      </c>
    </row>
    <row r="194" spans="1:26" x14ac:dyDescent="0.15">
      <c r="A194" s="5">
        <v>13056</v>
      </c>
      <c r="B194" s="5" t="s">
        <v>481</v>
      </c>
      <c r="C194" s="1">
        <v>3</v>
      </c>
      <c r="E194" s="7" t="s">
        <v>482</v>
      </c>
      <c r="G194" s="7" t="s">
        <v>483</v>
      </c>
      <c r="P194" s="1" t="s">
        <v>484</v>
      </c>
      <c r="S194" s="1">
        <v>500</v>
      </c>
      <c r="U194" s="1">
        <v>20001</v>
      </c>
      <c r="V194" s="1" t="s">
        <v>97</v>
      </c>
      <c r="Z194" s="1">
        <v>0</v>
      </c>
    </row>
    <row r="195" spans="1:26" x14ac:dyDescent="0.15">
      <c r="A195" s="5">
        <v>13057</v>
      </c>
      <c r="B195" s="5" t="s">
        <v>485</v>
      </c>
      <c r="C195" s="1">
        <v>3</v>
      </c>
      <c r="E195" s="7" t="s">
        <v>486</v>
      </c>
      <c r="G195" s="7" t="s">
        <v>487</v>
      </c>
      <c r="U195" s="1">
        <v>20001</v>
      </c>
      <c r="V195" s="1" t="s">
        <v>97</v>
      </c>
      <c r="Z195" s="1">
        <v>0</v>
      </c>
    </row>
    <row r="196" spans="1:26" x14ac:dyDescent="0.15">
      <c r="A196" s="5">
        <v>13058</v>
      </c>
      <c r="B196" s="5" t="s">
        <v>488</v>
      </c>
      <c r="C196" s="1">
        <v>3</v>
      </c>
      <c r="G196" s="7" t="s">
        <v>489</v>
      </c>
      <c r="M196" s="7" t="s">
        <v>266</v>
      </c>
      <c r="N196" s="7">
        <v>800065</v>
      </c>
      <c r="O196" s="1">
        <v>12</v>
      </c>
      <c r="P196" s="1" t="s">
        <v>490</v>
      </c>
      <c r="S196" s="1">
        <v>35</v>
      </c>
      <c r="U196" s="1">
        <v>20204</v>
      </c>
      <c r="V196" s="1" t="s">
        <v>145</v>
      </c>
      <c r="Z196" s="1">
        <v>1</v>
      </c>
    </row>
    <row r="197" spans="1:26" x14ac:dyDescent="0.15">
      <c r="A197" s="5">
        <v>13059</v>
      </c>
      <c r="B197" s="5" t="s">
        <v>491</v>
      </c>
      <c r="C197" s="1">
        <v>3</v>
      </c>
      <c r="E197" s="7" t="s">
        <v>492</v>
      </c>
      <c r="G197" s="7" t="s">
        <v>493</v>
      </c>
      <c r="I197" s="7" t="s">
        <v>494</v>
      </c>
      <c r="M197" s="7" t="s">
        <v>69</v>
      </c>
      <c r="N197" s="7">
        <v>800066</v>
      </c>
      <c r="P197" s="1" t="s">
        <v>185</v>
      </c>
      <c r="S197" s="1">
        <v>55</v>
      </c>
      <c r="U197" s="1">
        <v>20204</v>
      </c>
      <c r="V197" s="1" t="s">
        <v>145</v>
      </c>
    </row>
    <row r="198" spans="1:26" x14ac:dyDescent="0.15">
      <c r="A198" s="5">
        <v>13060</v>
      </c>
      <c r="B198" s="5" t="s">
        <v>495</v>
      </c>
      <c r="C198" s="1">
        <v>3</v>
      </c>
      <c r="G198" s="7" t="s">
        <v>496</v>
      </c>
      <c r="K198" s="7" t="s">
        <v>497</v>
      </c>
      <c r="M198" s="7" t="s">
        <v>266</v>
      </c>
      <c r="N198" s="7">
        <v>800067</v>
      </c>
      <c r="S198" s="1">
        <v>45</v>
      </c>
      <c r="U198" s="1">
        <v>20204</v>
      </c>
      <c r="V198" s="1" t="s">
        <v>145</v>
      </c>
    </row>
    <row r="199" spans="1:26" ht="33" x14ac:dyDescent="0.15">
      <c r="A199" s="5">
        <v>13061</v>
      </c>
      <c r="B199" s="5" t="s">
        <v>498</v>
      </c>
      <c r="C199" s="1">
        <v>3</v>
      </c>
      <c r="E199" s="7" t="s">
        <v>499</v>
      </c>
      <c r="G199" s="7" t="s">
        <v>500</v>
      </c>
      <c r="M199" s="7" t="s">
        <v>69</v>
      </c>
      <c r="P199" s="1" t="s">
        <v>501</v>
      </c>
      <c r="S199" s="1">
        <v>60</v>
      </c>
      <c r="U199" s="1">
        <v>20205</v>
      </c>
      <c r="V199" s="1" t="s">
        <v>124</v>
      </c>
    </row>
    <row r="200" spans="1:26" ht="33" x14ac:dyDescent="0.15">
      <c r="A200" s="5">
        <v>13062</v>
      </c>
      <c r="B200" s="5" t="s">
        <v>502</v>
      </c>
      <c r="C200" s="1">
        <v>3</v>
      </c>
      <c r="G200" s="7" t="s">
        <v>503</v>
      </c>
      <c r="P200" s="1" t="s">
        <v>504</v>
      </c>
      <c r="S200" s="1">
        <v>50</v>
      </c>
      <c r="U200" s="1">
        <v>20205</v>
      </c>
      <c r="V200" s="1" t="s">
        <v>124</v>
      </c>
    </row>
    <row r="201" spans="1:26" ht="33" x14ac:dyDescent="0.15">
      <c r="A201" s="5">
        <v>13063</v>
      </c>
      <c r="B201" s="5" t="s">
        <v>505</v>
      </c>
      <c r="C201" s="1">
        <v>3</v>
      </c>
      <c r="G201" s="7" t="s">
        <v>506</v>
      </c>
      <c r="O201" s="1">
        <v>9</v>
      </c>
      <c r="P201" s="1" t="s">
        <v>507</v>
      </c>
      <c r="S201" s="1">
        <v>30</v>
      </c>
      <c r="U201" s="1">
        <v>20201</v>
      </c>
      <c r="V201" s="1" t="s">
        <v>61</v>
      </c>
    </row>
    <row r="202" spans="1:26" x14ac:dyDescent="0.15">
      <c r="A202" s="5">
        <v>13064</v>
      </c>
      <c r="B202" s="5" t="s">
        <v>508</v>
      </c>
      <c r="C202" s="1">
        <v>3</v>
      </c>
      <c r="E202" s="7" t="s">
        <v>242</v>
      </c>
      <c r="G202" s="7" t="s">
        <v>398</v>
      </c>
      <c r="I202" s="7" t="s">
        <v>509</v>
      </c>
      <c r="M202" s="7" t="s">
        <v>127</v>
      </c>
      <c r="P202" s="1" t="s">
        <v>120</v>
      </c>
      <c r="S202" s="1">
        <v>50</v>
      </c>
      <c r="U202" s="1">
        <v>20403</v>
      </c>
      <c r="V202" s="1" t="s">
        <v>128</v>
      </c>
    </row>
    <row r="203" spans="1:26" ht="33" x14ac:dyDescent="0.15">
      <c r="A203" s="5">
        <v>13065</v>
      </c>
      <c r="B203" s="5" t="s">
        <v>510</v>
      </c>
      <c r="C203" s="1">
        <v>3</v>
      </c>
      <c r="G203" s="7" t="s">
        <v>511</v>
      </c>
      <c r="I203" s="7" t="s">
        <v>512</v>
      </c>
      <c r="M203" s="7" t="s">
        <v>513</v>
      </c>
      <c r="N203" s="1">
        <v>1</v>
      </c>
      <c r="P203" s="1" t="s">
        <v>514</v>
      </c>
      <c r="S203" s="1">
        <v>100</v>
      </c>
      <c r="U203" s="1">
        <v>20701</v>
      </c>
      <c r="V203" s="1" t="s">
        <v>174</v>
      </c>
    </row>
    <row r="204" spans="1:26" x14ac:dyDescent="0.15">
      <c r="A204" s="5">
        <v>13066</v>
      </c>
      <c r="B204" s="21" t="s">
        <v>515</v>
      </c>
      <c r="C204" s="1">
        <v>3</v>
      </c>
      <c r="E204" s="7" t="s">
        <v>516</v>
      </c>
      <c r="G204" s="7" t="s">
        <v>393</v>
      </c>
      <c r="I204" s="7" t="s">
        <v>517</v>
      </c>
      <c r="M204" s="7" t="s">
        <v>266</v>
      </c>
      <c r="N204" s="1">
        <v>1</v>
      </c>
      <c r="P204" s="1" t="s">
        <v>189</v>
      </c>
      <c r="S204" s="1">
        <v>40</v>
      </c>
      <c r="U204" s="1">
        <v>20701</v>
      </c>
      <c r="V204" s="1" t="s">
        <v>174</v>
      </c>
    </row>
    <row r="205" spans="1:26" x14ac:dyDescent="0.15">
      <c r="A205" s="5">
        <v>13067</v>
      </c>
      <c r="B205" s="5" t="s">
        <v>518</v>
      </c>
      <c r="C205" s="1">
        <v>3</v>
      </c>
      <c r="E205" s="1"/>
      <c r="F205" s="1"/>
      <c r="G205" s="1" t="s">
        <v>333</v>
      </c>
      <c r="H205" s="1"/>
      <c r="I205" s="1"/>
      <c r="J205" s="1"/>
      <c r="K205" s="1" t="s">
        <v>519</v>
      </c>
      <c r="L205" s="1"/>
      <c r="M205" s="1"/>
      <c r="P205" s="1" t="s">
        <v>520</v>
      </c>
      <c r="S205" s="1">
        <v>10</v>
      </c>
      <c r="U205" s="1">
        <v>20205</v>
      </c>
      <c r="V205" s="1" t="s">
        <v>124</v>
      </c>
    </row>
    <row r="206" spans="1:26" x14ac:dyDescent="0.15">
      <c r="A206" s="5">
        <v>13068</v>
      </c>
      <c r="B206" s="5" t="s">
        <v>521</v>
      </c>
      <c r="C206" s="1">
        <v>3</v>
      </c>
      <c r="E206" s="1" t="s">
        <v>522</v>
      </c>
      <c r="F206" s="1"/>
      <c r="G206" s="1" t="s">
        <v>523</v>
      </c>
      <c r="H206" s="1"/>
      <c r="I206" s="1"/>
      <c r="J206" s="1"/>
      <c r="K206" s="1"/>
      <c r="L206" s="1"/>
      <c r="M206" s="1"/>
      <c r="P206" s="1" t="s">
        <v>189</v>
      </c>
      <c r="S206" s="1">
        <v>5</v>
      </c>
      <c r="U206" s="1">
        <v>20205</v>
      </c>
      <c r="V206" s="1" t="s">
        <v>124</v>
      </c>
    </row>
    <row r="207" spans="1:26" x14ac:dyDescent="0.15">
      <c r="A207" s="5">
        <v>13069</v>
      </c>
      <c r="B207" s="5" t="s">
        <v>524</v>
      </c>
      <c r="C207" s="1">
        <v>3</v>
      </c>
      <c r="E207" s="1"/>
      <c r="F207" s="1"/>
      <c r="G207" s="1" t="s">
        <v>525</v>
      </c>
      <c r="H207" s="1"/>
      <c r="I207" s="1" t="s">
        <v>526</v>
      </c>
      <c r="J207" s="1"/>
      <c r="K207" s="1"/>
      <c r="L207" s="1"/>
      <c r="M207" s="1"/>
      <c r="P207" s="1" t="s">
        <v>527</v>
      </c>
      <c r="S207" s="1">
        <v>25</v>
      </c>
      <c r="U207" s="1">
        <v>20205</v>
      </c>
      <c r="V207" s="1" t="s">
        <v>124</v>
      </c>
    </row>
    <row r="208" spans="1:26" x14ac:dyDescent="0.15">
      <c r="A208" s="5">
        <v>13070</v>
      </c>
      <c r="B208" s="5" t="s">
        <v>528</v>
      </c>
      <c r="C208" s="1">
        <v>3</v>
      </c>
      <c r="E208" s="1"/>
      <c r="F208" s="1"/>
      <c r="G208" s="1" t="s">
        <v>321</v>
      </c>
      <c r="H208" s="1"/>
      <c r="I208" s="1" t="s">
        <v>529</v>
      </c>
      <c r="J208" s="1"/>
      <c r="K208" s="1" t="s">
        <v>266</v>
      </c>
      <c r="L208" s="1"/>
      <c r="M208" s="1"/>
      <c r="O208" s="1">
        <v>2</v>
      </c>
      <c r="P208" s="1" t="s">
        <v>530</v>
      </c>
      <c r="S208" s="1">
        <v>15</v>
      </c>
      <c r="U208" s="1">
        <v>20205</v>
      </c>
      <c r="V208" s="1" t="s">
        <v>124</v>
      </c>
    </row>
    <row r="209" spans="1:22" ht="33" x14ac:dyDescent="0.15">
      <c r="A209" s="5">
        <v>13071</v>
      </c>
      <c r="B209" s="5" t="s">
        <v>531</v>
      </c>
      <c r="C209" s="1">
        <v>3</v>
      </c>
      <c r="E209" s="7" t="s">
        <v>532</v>
      </c>
      <c r="G209" s="7" t="s">
        <v>533</v>
      </c>
      <c r="U209" s="1">
        <v>20402</v>
      </c>
      <c r="V209" s="1" t="s">
        <v>534</v>
      </c>
    </row>
    <row r="210" spans="1:22" ht="33" x14ac:dyDescent="0.15">
      <c r="A210" s="5">
        <v>13072</v>
      </c>
      <c r="B210" s="5" t="s">
        <v>535</v>
      </c>
      <c r="C210" s="1">
        <v>3</v>
      </c>
      <c r="E210" s="7" t="s">
        <v>536</v>
      </c>
      <c r="G210" s="7" t="s">
        <v>537</v>
      </c>
      <c r="N210" s="1">
        <v>7</v>
      </c>
      <c r="S210" s="1">
        <v>85</v>
      </c>
      <c r="U210" s="1">
        <v>20701</v>
      </c>
      <c r="V210" s="1" t="s">
        <v>174</v>
      </c>
    </row>
    <row r="211" spans="1:22" x14ac:dyDescent="0.15">
      <c r="A211" s="5">
        <v>13073</v>
      </c>
      <c r="C211" s="1">
        <v>3</v>
      </c>
      <c r="E211" s="7" t="s">
        <v>538</v>
      </c>
      <c r="G211" s="7" t="s">
        <v>326</v>
      </c>
      <c r="K211" s="7" t="s">
        <v>324</v>
      </c>
      <c r="M211" s="7" t="s">
        <v>539</v>
      </c>
      <c r="P211" s="1" t="s">
        <v>152</v>
      </c>
      <c r="S211" s="1">
        <v>30</v>
      </c>
      <c r="U211" s="1">
        <v>20507</v>
      </c>
      <c r="V211" s="1" t="s">
        <v>261</v>
      </c>
    </row>
    <row r="212" spans="1:22" ht="33" x14ac:dyDescent="0.15">
      <c r="A212" s="5">
        <v>13074</v>
      </c>
      <c r="C212" s="1">
        <v>3</v>
      </c>
      <c r="E212" s="7" t="s">
        <v>158</v>
      </c>
      <c r="G212" s="7" t="s">
        <v>323</v>
      </c>
      <c r="K212" s="7" t="s">
        <v>540</v>
      </c>
      <c r="P212" s="1" t="s">
        <v>541</v>
      </c>
      <c r="S212" s="1">
        <v>10</v>
      </c>
      <c r="U212" s="1">
        <v>20507</v>
      </c>
      <c r="V212" s="1" t="s">
        <v>261</v>
      </c>
    </row>
    <row r="213" spans="1:22" ht="33" x14ac:dyDescent="0.15">
      <c r="A213" s="5">
        <v>13075</v>
      </c>
      <c r="B213" s="5" t="s">
        <v>542</v>
      </c>
      <c r="C213" s="1">
        <v>3</v>
      </c>
      <c r="E213" s="7" t="s">
        <v>543</v>
      </c>
      <c r="G213" s="7" t="s">
        <v>393</v>
      </c>
      <c r="K213" s="7" t="s">
        <v>544</v>
      </c>
      <c r="O213" s="1">
        <v>3</v>
      </c>
      <c r="P213" s="1" t="s">
        <v>259</v>
      </c>
      <c r="S213" s="1">
        <v>25</v>
      </c>
      <c r="U213" s="1">
        <v>20507</v>
      </c>
      <c r="V213" s="1" t="s">
        <v>261</v>
      </c>
    </row>
    <row r="214" spans="1:22" ht="33" x14ac:dyDescent="0.15">
      <c r="A214" s="5">
        <v>13076</v>
      </c>
      <c r="C214" s="1">
        <v>3</v>
      </c>
      <c r="G214" s="7" t="s">
        <v>545</v>
      </c>
      <c r="K214" s="7" t="s">
        <v>266</v>
      </c>
      <c r="O214" s="1">
        <v>5</v>
      </c>
      <c r="P214" s="1" t="s">
        <v>197</v>
      </c>
      <c r="S214" s="1">
        <v>40</v>
      </c>
      <c r="U214" s="1">
        <v>20507</v>
      </c>
      <c r="V214" s="1" t="s">
        <v>261</v>
      </c>
    </row>
    <row r="215" spans="1:22" ht="33" x14ac:dyDescent="0.15">
      <c r="A215" s="5">
        <v>13077</v>
      </c>
      <c r="C215" s="1">
        <v>3</v>
      </c>
      <c r="G215" s="7" t="s">
        <v>546</v>
      </c>
      <c r="O215" s="1">
        <v>99</v>
      </c>
      <c r="P215" s="1" t="s">
        <v>547</v>
      </c>
      <c r="S215" s="1">
        <v>65</v>
      </c>
      <c r="U215" s="1">
        <v>20507</v>
      </c>
      <c r="V215" s="1" t="s">
        <v>261</v>
      </c>
    </row>
    <row r="216" spans="1:22" x14ac:dyDescent="0.15">
      <c r="A216" s="5">
        <v>13078</v>
      </c>
      <c r="C216" s="1">
        <v>3</v>
      </c>
      <c r="G216" s="7" t="s">
        <v>548</v>
      </c>
      <c r="O216" s="1">
        <v>99</v>
      </c>
      <c r="P216" s="1" t="s">
        <v>549</v>
      </c>
      <c r="S216" s="1">
        <v>35</v>
      </c>
      <c r="U216" s="1">
        <v>20507</v>
      </c>
      <c r="V216" s="1" t="s">
        <v>261</v>
      </c>
    </row>
    <row r="217" spans="1:22" ht="33" x14ac:dyDescent="0.15">
      <c r="A217" s="5">
        <v>13079</v>
      </c>
      <c r="C217" s="1">
        <v>3</v>
      </c>
      <c r="E217" s="7" t="s">
        <v>550</v>
      </c>
      <c r="G217" s="7" t="s">
        <v>551</v>
      </c>
      <c r="K217" s="7" t="s">
        <v>552</v>
      </c>
      <c r="O217" s="1">
        <v>99</v>
      </c>
      <c r="S217" s="1">
        <v>50</v>
      </c>
      <c r="U217" s="1">
        <v>20507</v>
      </c>
      <c r="V217" s="1" t="s">
        <v>261</v>
      </c>
    </row>
    <row r="218" spans="1:22" x14ac:dyDescent="0.15">
      <c r="A218" s="5">
        <v>13080</v>
      </c>
      <c r="C218" s="1">
        <v>3</v>
      </c>
      <c r="G218" s="7" t="s">
        <v>553</v>
      </c>
      <c r="I218" s="7" t="s">
        <v>554</v>
      </c>
      <c r="M218" s="7" t="s">
        <v>555</v>
      </c>
      <c r="N218" s="1">
        <v>7</v>
      </c>
      <c r="S218" s="1">
        <v>30</v>
      </c>
      <c r="U218" s="1">
        <v>20507</v>
      </c>
      <c r="V218" s="1" t="s">
        <v>261</v>
      </c>
    </row>
    <row r="219" spans="1:22" ht="33" x14ac:dyDescent="0.15">
      <c r="A219" s="5">
        <v>13081</v>
      </c>
      <c r="B219" s="5" t="s">
        <v>556</v>
      </c>
      <c r="C219" s="1">
        <v>3</v>
      </c>
      <c r="G219" s="7" t="s">
        <v>557</v>
      </c>
      <c r="P219" s="1" t="s">
        <v>224</v>
      </c>
      <c r="S219" s="1">
        <v>40</v>
      </c>
      <c r="U219" s="1">
        <v>20303</v>
      </c>
      <c r="V219" s="1" t="s">
        <v>73</v>
      </c>
    </row>
    <row r="220" spans="1:22" x14ac:dyDescent="0.15">
      <c r="A220" s="5">
        <v>13082</v>
      </c>
      <c r="C220" s="1">
        <v>3</v>
      </c>
      <c r="G220" s="7" t="s">
        <v>558</v>
      </c>
      <c r="M220" s="7" t="s">
        <v>559</v>
      </c>
      <c r="N220" s="1">
        <v>5</v>
      </c>
      <c r="O220" s="1">
        <v>6</v>
      </c>
      <c r="P220" s="1" t="s">
        <v>560</v>
      </c>
      <c r="S220" s="1">
        <v>25</v>
      </c>
      <c r="U220" s="1">
        <v>20507</v>
      </c>
      <c r="V220" s="1" t="s">
        <v>261</v>
      </c>
    </row>
    <row r="221" spans="1:22" x14ac:dyDescent="0.15">
      <c r="A221" s="5">
        <v>13083</v>
      </c>
      <c r="B221" s="5" t="s">
        <v>561</v>
      </c>
      <c r="C221" s="1">
        <v>3</v>
      </c>
      <c r="G221" s="7" t="s">
        <v>562</v>
      </c>
      <c r="I221" s="7" t="s">
        <v>563</v>
      </c>
      <c r="O221" s="1">
        <v>99</v>
      </c>
      <c r="U221" s="1">
        <v>20001</v>
      </c>
      <c r="V221" s="1" t="s">
        <v>97</v>
      </c>
    </row>
    <row r="222" spans="1:22" ht="33" x14ac:dyDescent="0.15">
      <c r="A222" s="5">
        <v>13084</v>
      </c>
      <c r="B222" s="5" t="s">
        <v>564</v>
      </c>
      <c r="C222" s="1">
        <v>3</v>
      </c>
      <c r="G222" s="7" t="s">
        <v>565</v>
      </c>
      <c r="O222" s="1">
        <v>99</v>
      </c>
      <c r="U222" s="1">
        <v>20001</v>
      </c>
      <c r="V222" s="1" t="s">
        <v>97</v>
      </c>
    </row>
    <row r="223" spans="1:22" x14ac:dyDescent="0.15">
      <c r="A223" s="5">
        <v>13085</v>
      </c>
      <c r="B223" s="5" t="s">
        <v>566</v>
      </c>
      <c r="C223" s="1">
        <v>3</v>
      </c>
      <c r="E223" s="7" t="s">
        <v>117</v>
      </c>
      <c r="G223" s="7" t="s">
        <v>567</v>
      </c>
      <c r="I223" s="7" t="s">
        <v>568</v>
      </c>
      <c r="O223" s="1">
        <v>99</v>
      </c>
      <c r="U223" s="1">
        <v>20001</v>
      </c>
      <c r="V223" s="1" t="s">
        <v>97</v>
      </c>
    </row>
    <row r="224" spans="1:22" ht="33" x14ac:dyDescent="0.15">
      <c r="A224" s="5">
        <v>13086</v>
      </c>
      <c r="B224" s="5" t="s">
        <v>569</v>
      </c>
      <c r="C224" s="1">
        <v>3</v>
      </c>
      <c r="G224" s="1" t="s">
        <v>326</v>
      </c>
      <c r="H224" s="1"/>
      <c r="I224" s="1"/>
      <c r="K224" s="7" t="s">
        <v>570</v>
      </c>
      <c r="O224" s="1">
        <v>99</v>
      </c>
      <c r="U224" s="1">
        <v>20001</v>
      </c>
      <c r="V224" s="1" t="s">
        <v>97</v>
      </c>
    </row>
    <row r="225" spans="1:22" ht="33" x14ac:dyDescent="0.15">
      <c r="A225" s="5">
        <v>13087</v>
      </c>
      <c r="B225" s="5" t="s">
        <v>571</v>
      </c>
      <c r="C225" s="1">
        <v>3</v>
      </c>
      <c r="G225" s="7" t="s">
        <v>572</v>
      </c>
      <c r="O225" s="1">
        <v>99</v>
      </c>
      <c r="U225" s="1">
        <v>20001</v>
      </c>
      <c r="V225" s="1" t="s">
        <v>97</v>
      </c>
    </row>
    <row r="226" spans="1:22" ht="33" x14ac:dyDescent="0.15">
      <c r="A226" s="5">
        <v>13088</v>
      </c>
      <c r="B226" s="5" t="s">
        <v>573</v>
      </c>
      <c r="C226" s="1">
        <v>3</v>
      </c>
      <c r="G226" s="7" t="s">
        <v>574</v>
      </c>
      <c r="K226" s="7" t="s">
        <v>218</v>
      </c>
      <c r="O226" s="1">
        <v>99</v>
      </c>
      <c r="U226" s="1">
        <v>20001</v>
      </c>
      <c r="V226" s="1" t="s">
        <v>97</v>
      </c>
    </row>
    <row r="227" spans="1:22" ht="33" x14ac:dyDescent="0.15">
      <c r="A227" s="5">
        <v>13089</v>
      </c>
      <c r="B227" s="5" t="s">
        <v>575</v>
      </c>
      <c r="C227" s="1">
        <v>3</v>
      </c>
      <c r="G227" s="7" t="s">
        <v>576</v>
      </c>
      <c r="O227" s="1">
        <v>99</v>
      </c>
      <c r="U227" s="1">
        <v>20001</v>
      </c>
      <c r="V227" s="1" t="s">
        <v>97</v>
      </c>
    </row>
    <row r="228" spans="1:22" x14ac:dyDescent="0.15">
      <c r="A228" s="5">
        <v>13090</v>
      </c>
      <c r="B228" s="5" t="s">
        <v>577</v>
      </c>
      <c r="C228" s="1">
        <v>3</v>
      </c>
      <c r="G228" s="7" t="s">
        <v>578</v>
      </c>
      <c r="I228" s="7" t="s">
        <v>579</v>
      </c>
      <c r="O228" s="1">
        <v>99</v>
      </c>
      <c r="U228" s="1">
        <v>20001</v>
      </c>
      <c r="V228" s="1" t="s">
        <v>97</v>
      </c>
    </row>
    <row r="229" spans="1:22" x14ac:dyDescent="0.15">
      <c r="A229" s="5">
        <v>13091</v>
      </c>
      <c r="B229" s="5" t="s">
        <v>580</v>
      </c>
      <c r="C229" s="1">
        <v>3</v>
      </c>
      <c r="E229" s="7" t="s">
        <v>366</v>
      </c>
      <c r="G229" s="7" t="s">
        <v>581</v>
      </c>
      <c r="M229" s="7" t="s">
        <v>69</v>
      </c>
      <c r="P229" s="1" t="s">
        <v>171</v>
      </c>
      <c r="S229" s="1">
        <v>30</v>
      </c>
      <c r="U229" s="1">
        <v>20305</v>
      </c>
      <c r="V229" s="1" t="s">
        <v>76</v>
      </c>
    </row>
    <row r="230" spans="1:22" x14ac:dyDescent="0.15">
      <c r="A230" s="5">
        <v>13092</v>
      </c>
      <c r="B230" s="5" t="s">
        <v>582</v>
      </c>
      <c r="C230" s="1">
        <v>3</v>
      </c>
      <c r="E230" s="7" t="s">
        <v>583</v>
      </c>
      <c r="G230" s="7" t="s">
        <v>584</v>
      </c>
      <c r="H230" s="1"/>
      <c r="I230" s="1"/>
      <c r="K230" s="7" t="s">
        <v>585</v>
      </c>
      <c r="S230" s="1">
        <v>90</v>
      </c>
    </row>
    <row r="231" spans="1:22" ht="33" x14ac:dyDescent="0.15">
      <c r="A231" s="5">
        <v>13093</v>
      </c>
      <c r="B231" s="5" t="s">
        <v>586</v>
      </c>
      <c r="C231" s="1">
        <v>3</v>
      </c>
      <c r="G231" s="7" t="s">
        <v>587</v>
      </c>
      <c r="M231" s="7" t="s">
        <v>588</v>
      </c>
      <c r="U231" s="1">
        <v>20508</v>
      </c>
      <c r="V231" s="1" t="s">
        <v>589</v>
      </c>
    </row>
    <row r="232" spans="1:22" ht="33" x14ac:dyDescent="0.15">
      <c r="A232" s="5">
        <v>13094</v>
      </c>
      <c r="B232" s="5" t="s">
        <v>590</v>
      </c>
      <c r="C232" s="1">
        <v>3</v>
      </c>
      <c r="G232" s="7" t="s">
        <v>591</v>
      </c>
    </row>
    <row r="233" spans="1:22" x14ac:dyDescent="0.15">
      <c r="A233" s="5">
        <v>13095</v>
      </c>
      <c r="B233" s="5" t="s">
        <v>427</v>
      </c>
      <c r="C233" s="1">
        <v>3</v>
      </c>
      <c r="G233" s="1" t="s">
        <v>428</v>
      </c>
      <c r="I233" s="7" t="s">
        <v>592</v>
      </c>
      <c r="O233" s="1">
        <v>99</v>
      </c>
      <c r="P233" s="1" t="s">
        <v>430</v>
      </c>
      <c r="R233" s="1">
        <v>1</v>
      </c>
      <c r="U233" s="1">
        <v>20001</v>
      </c>
      <c r="V233" s="1" t="s">
        <v>97</v>
      </c>
    </row>
    <row r="234" spans="1:22" x14ac:dyDescent="0.15">
      <c r="A234" s="5">
        <v>13096</v>
      </c>
      <c r="B234" s="5" t="s">
        <v>427</v>
      </c>
      <c r="C234" s="1">
        <v>3</v>
      </c>
      <c r="G234" s="1" t="s">
        <v>447</v>
      </c>
      <c r="I234" s="7" t="s">
        <v>592</v>
      </c>
      <c r="O234" s="1">
        <v>99</v>
      </c>
      <c r="P234" s="1" t="s">
        <v>430</v>
      </c>
      <c r="U234" s="1">
        <v>20001</v>
      </c>
      <c r="V234" s="1" t="s">
        <v>97</v>
      </c>
    </row>
    <row r="235" spans="1:22" x14ac:dyDescent="0.15">
      <c r="A235" s="5">
        <v>13097</v>
      </c>
      <c r="B235" s="5" t="s">
        <v>449</v>
      </c>
      <c r="C235" s="1">
        <v>3</v>
      </c>
      <c r="G235" s="1" t="s">
        <v>393</v>
      </c>
      <c r="I235" s="7" t="s">
        <v>593</v>
      </c>
      <c r="O235" s="1">
        <v>99</v>
      </c>
      <c r="P235" s="1" t="s">
        <v>451</v>
      </c>
      <c r="Q235" t="s">
        <v>452</v>
      </c>
      <c r="U235" s="1">
        <v>20001</v>
      </c>
      <c r="V235" s="1" t="s">
        <v>97</v>
      </c>
    </row>
    <row r="236" spans="1:22" x14ac:dyDescent="0.15">
      <c r="A236" s="5">
        <v>13098</v>
      </c>
      <c r="B236" s="5" t="s">
        <v>449</v>
      </c>
      <c r="C236" s="1">
        <v>3</v>
      </c>
      <c r="G236" s="1" t="s">
        <v>385</v>
      </c>
      <c r="I236" s="7" t="s">
        <v>593</v>
      </c>
      <c r="O236" s="1">
        <v>99</v>
      </c>
      <c r="P236" s="1" t="s">
        <v>451</v>
      </c>
      <c r="Q236" t="s">
        <v>452</v>
      </c>
      <c r="U236" s="1">
        <v>20001</v>
      </c>
      <c r="V236" s="1" t="s">
        <v>97</v>
      </c>
    </row>
    <row r="237" spans="1:22" x14ac:dyDescent="0.15">
      <c r="A237" s="5">
        <v>13099</v>
      </c>
      <c r="B237" s="5" t="s">
        <v>561</v>
      </c>
      <c r="C237" s="1">
        <v>3</v>
      </c>
      <c r="G237" s="7" t="s">
        <v>594</v>
      </c>
      <c r="I237" s="7" t="s">
        <v>563</v>
      </c>
      <c r="O237" s="1">
        <v>99</v>
      </c>
      <c r="U237" s="1">
        <v>20001</v>
      </c>
      <c r="V237" s="1" t="s">
        <v>97</v>
      </c>
    </row>
    <row r="238" spans="1:22" ht="33" x14ac:dyDescent="0.15">
      <c r="A238" s="5">
        <v>13100</v>
      </c>
      <c r="B238" s="5" t="s">
        <v>564</v>
      </c>
      <c r="C238" s="1">
        <v>3</v>
      </c>
      <c r="G238" s="7" t="s">
        <v>595</v>
      </c>
      <c r="O238" s="1">
        <v>99</v>
      </c>
      <c r="U238" s="1">
        <v>20001</v>
      </c>
      <c r="V238" s="1" t="s">
        <v>97</v>
      </c>
    </row>
    <row r="239" spans="1:22" ht="33" x14ac:dyDescent="0.15">
      <c r="A239" s="5">
        <v>13101</v>
      </c>
      <c r="B239" s="5" t="s">
        <v>569</v>
      </c>
      <c r="C239" s="1">
        <v>3</v>
      </c>
      <c r="G239" s="1" t="s">
        <v>493</v>
      </c>
      <c r="H239" s="1"/>
      <c r="I239" s="1"/>
      <c r="K239" s="7" t="s">
        <v>570</v>
      </c>
      <c r="O239" s="1">
        <v>99</v>
      </c>
      <c r="U239" s="1">
        <v>20001</v>
      </c>
      <c r="V239" s="1" t="s">
        <v>97</v>
      </c>
    </row>
    <row r="240" spans="1:22" ht="33" x14ac:dyDescent="0.15">
      <c r="A240" s="5">
        <v>13102</v>
      </c>
      <c r="B240" s="5" t="s">
        <v>571</v>
      </c>
      <c r="C240" s="1">
        <v>3</v>
      </c>
      <c r="G240" s="7" t="s">
        <v>596</v>
      </c>
      <c r="O240" s="1">
        <v>99</v>
      </c>
      <c r="U240" s="1">
        <v>20001</v>
      </c>
      <c r="V240" s="1" t="s">
        <v>97</v>
      </c>
    </row>
    <row r="241" spans="1:26" ht="33" x14ac:dyDescent="0.15">
      <c r="A241" s="5">
        <v>13103</v>
      </c>
      <c r="B241" s="5" t="s">
        <v>573</v>
      </c>
      <c r="C241" s="1">
        <v>3</v>
      </c>
      <c r="G241" s="7" t="s">
        <v>597</v>
      </c>
      <c r="K241" s="7" t="s">
        <v>218</v>
      </c>
      <c r="O241" s="1">
        <v>99</v>
      </c>
      <c r="U241" s="1">
        <v>20001</v>
      </c>
      <c r="V241" s="1" t="s">
        <v>97</v>
      </c>
    </row>
    <row r="242" spans="1:26" x14ac:dyDescent="0.15">
      <c r="A242" s="5">
        <v>13104</v>
      </c>
      <c r="B242" s="5" t="s">
        <v>561</v>
      </c>
      <c r="C242" s="1">
        <v>3</v>
      </c>
      <c r="G242" s="7" t="s">
        <v>598</v>
      </c>
      <c r="I242" s="7" t="s">
        <v>563</v>
      </c>
      <c r="O242" s="1">
        <v>99</v>
      </c>
      <c r="U242" s="1">
        <v>20001</v>
      </c>
      <c r="V242" s="1" t="s">
        <v>97</v>
      </c>
    </row>
    <row r="243" spans="1:26" ht="33" x14ac:dyDescent="0.15">
      <c r="A243" s="5">
        <v>13105</v>
      </c>
      <c r="B243" s="5" t="s">
        <v>564</v>
      </c>
      <c r="C243" s="1">
        <v>3</v>
      </c>
      <c r="G243" s="7" t="s">
        <v>599</v>
      </c>
      <c r="O243" s="1">
        <v>99</v>
      </c>
      <c r="U243" s="1">
        <v>20001</v>
      </c>
      <c r="V243" s="1" t="s">
        <v>97</v>
      </c>
    </row>
    <row r="244" spans="1:26" ht="33" x14ac:dyDescent="0.15">
      <c r="A244" s="5">
        <v>13106</v>
      </c>
      <c r="B244" s="5" t="s">
        <v>569</v>
      </c>
      <c r="C244" s="1">
        <v>3</v>
      </c>
      <c r="G244" s="1" t="s">
        <v>600</v>
      </c>
      <c r="H244" s="1"/>
      <c r="I244" s="1"/>
      <c r="K244" s="7" t="s">
        <v>570</v>
      </c>
      <c r="O244" s="1">
        <v>99</v>
      </c>
      <c r="U244" s="1">
        <v>20001</v>
      </c>
      <c r="V244" s="1" t="s">
        <v>97</v>
      </c>
    </row>
    <row r="245" spans="1:26" ht="33" x14ac:dyDescent="0.15">
      <c r="A245" s="5">
        <v>13107</v>
      </c>
      <c r="B245" s="5" t="s">
        <v>571</v>
      </c>
      <c r="C245" s="1">
        <v>3</v>
      </c>
      <c r="G245" s="7" t="s">
        <v>601</v>
      </c>
      <c r="O245" s="1">
        <v>99</v>
      </c>
      <c r="U245" s="1">
        <v>20001</v>
      </c>
      <c r="V245" s="1" t="s">
        <v>97</v>
      </c>
    </row>
    <row r="246" spans="1:26" ht="33" x14ac:dyDescent="0.15">
      <c r="A246" s="5">
        <v>13108</v>
      </c>
      <c r="B246" s="5" t="s">
        <v>573</v>
      </c>
      <c r="C246" s="1">
        <v>3</v>
      </c>
      <c r="G246" s="7" t="s">
        <v>602</v>
      </c>
      <c r="K246" s="7" t="s">
        <v>218</v>
      </c>
      <c r="O246" s="1">
        <v>99</v>
      </c>
      <c r="U246" s="1">
        <v>20001</v>
      </c>
      <c r="V246" s="1" t="s">
        <v>97</v>
      </c>
    </row>
    <row r="247" spans="1:26" x14ac:dyDescent="0.15">
      <c r="A247" s="5">
        <v>13109</v>
      </c>
      <c r="B247" s="5" t="s">
        <v>603</v>
      </c>
      <c r="C247" s="1">
        <v>3</v>
      </c>
      <c r="U247" s="1">
        <v>20407</v>
      </c>
      <c r="V247" s="1" t="s">
        <v>604</v>
      </c>
    </row>
    <row r="248" spans="1:26" ht="33" x14ac:dyDescent="0.15">
      <c r="A248" s="5">
        <v>13110</v>
      </c>
      <c r="C248" s="1">
        <v>3</v>
      </c>
      <c r="G248" s="7" t="s">
        <v>605</v>
      </c>
      <c r="U248" s="1">
        <v>20508</v>
      </c>
      <c r="V248" s="1" t="s">
        <v>589</v>
      </c>
    </row>
    <row r="249" spans="1:26" x14ac:dyDescent="0.15">
      <c r="A249" s="5">
        <v>13111</v>
      </c>
      <c r="C249" s="1">
        <v>3</v>
      </c>
      <c r="G249" s="7" t="s">
        <v>606</v>
      </c>
      <c r="U249" s="1">
        <v>20508</v>
      </c>
      <c r="V249" s="1" t="s">
        <v>589</v>
      </c>
    </row>
    <row r="250" spans="1:26" x14ac:dyDescent="0.15">
      <c r="A250" s="5">
        <v>13112</v>
      </c>
      <c r="C250" s="1">
        <v>3</v>
      </c>
      <c r="G250" s="7" t="s">
        <v>607</v>
      </c>
      <c r="U250" s="1">
        <v>20303</v>
      </c>
      <c r="V250" s="1" t="s">
        <v>73</v>
      </c>
    </row>
    <row r="251" spans="1:26" x14ac:dyDescent="0.15">
      <c r="A251" s="5">
        <v>13113</v>
      </c>
      <c r="C251" s="1">
        <v>3</v>
      </c>
      <c r="G251" s="7" t="s">
        <v>608</v>
      </c>
      <c r="U251" s="1">
        <v>20303</v>
      </c>
      <c r="V251" s="1" t="s">
        <v>73</v>
      </c>
    </row>
    <row r="252" spans="1:26" ht="33" x14ac:dyDescent="0.15">
      <c r="A252" s="5">
        <v>13114</v>
      </c>
      <c r="C252" s="1">
        <v>3</v>
      </c>
      <c r="E252" s="7" t="s">
        <v>609</v>
      </c>
      <c r="G252" s="7" t="s">
        <v>610</v>
      </c>
      <c r="I252" s="7" t="s">
        <v>611</v>
      </c>
      <c r="K252" s="7" t="s">
        <v>612</v>
      </c>
      <c r="U252" s="1">
        <v>20602</v>
      </c>
      <c r="V252" s="1" t="s">
        <v>613</v>
      </c>
    </row>
    <row r="253" spans="1:26" ht="33" x14ac:dyDescent="0.15">
      <c r="A253" s="5">
        <v>13115</v>
      </c>
      <c r="B253" s="5" t="s">
        <v>614</v>
      </c>
      <c r="C253" s="1">
        <v>3</v>
      </c>
      <c r="G253" s="7" t="s">
        <v>615</v>
      </c>
      <c r="K253" s="7" t="s">
        <v>616</v>
      </c>
      <c r="S253" s="1">
        <v>15</v>
      </c>
    </row>
    <row r="255" spans="1:26" x14ac:dyDescent="0.15">
      <c r="A255" s="5">
        <v>14001</v>
      </c>
      <c r="B255" s="5" t="s">
        <v>617</v>
      </c>
      <c r="C255" s="1">
        <v>4</v>
      </c>
      <c r="G255" s="7" t="s">
        <v>618</v>
      </c>
      <c r="N255" s="1">
        <v>3</v>
      </c>
      <c r="O255" s="1">
        <v>3</v>
      </c>
      <c r="P255" s="1" t="s">
        <v>619</v>
      </c>
      <c r="Q255" s="9" t="s">
        <v>620</v>
      </c>
      <c r="R255" s="1">
        <v>1</v>
      </c>
      <c r="T255" s="1">
        <v>20</v>
      </c>
      <c r="U255" s="1">
        <v>20304</v>
      </c>
      <c r="V255" s="1" t="s">
        <v>244</v>
      </c>
      <c r="Z255" s="1">
        <v>1</v>
      </c>
    </row>
    <row r="256" spans="1:26" x14ac:dyDescent="0.15">
      <c r="A256" s="5">
        <v>14002</v>
      </c>
      <c r="B256" s="5" t="s">
        <v>621</v>
      </c>
      <c r="C256" s="1">
        <v>4</v>
      </c>
      <c r="E256" s="7" t="s">
        <v>622</v>
      </c>
      <c r="G256" s="7" t="s">
        <v>623</v>
      </c>
      <c r="N256" s="1">
        <v>6</v>
      </c>
      <c r="O256" s="1">
        <v>3</v>
      </c>
      <c r="P256" s="1" t="s">
        <v>624</v>
      </c>
      <c r="Q256" s="9" t="s">
        <v>625</v>
      </c>
      <c r="R256" s="1">
        <v>1</v>
      </c>
      <c r="T256" s="1">
        <v>30</v>
      </c>
      <c r="U256" s="1">
        <v>20304</v>
      </c>
      <c r="V256" s="1" t="s">
        <v>244</v>
      </c>
      <c r="Z256" s="1">
        <v>1</v>
      </c>
    </row>
    <row r="257" spans="1:26" x14ac:dyDescent="0.15">
      <c r="A257" s="5">
        <v>14003</v>
      </c>
      <c r="B257" s="5" t="s">
        <v>626</v>
      </c>
      <c r="C257" s="1">
        <v>4</v>
      </c>
      <c r="E257" s="7" t="s">
        <v>627</v>
      </c>
      <c r="G257" s="7" t="s">
        <v>628</v>
      </c>
      <c r="K257" s="7" t="s">
        <v>629</v>
      </c>
      <c r="N257" s="1">
        <v>3</v>
      </c>
      <c r="O257" s="1">
        <v>4</v>
      </c>
      <c r="P257" s="1" t="s">
        <v>630</v>
      </c>
      <c r="Q257" s="9" t="s">
        <v>631</v>
      </c>
      <c r="R257" s="1">
        <v>1</v>
      </c>
      <c r="T257" s="1">
        <v>30</v>
      </c>
      <c r="U257" s="1">
        <v>20302</v>
      </c>
      <c r="V257" s="1" t="s">
        <v>243</v>
      </c>
      <c r="Z257" s="1">
        <v>1</v>
      </c>
    </row>
    <row r="258" spans="1:26" x14ac:dyDescent="0.15">
      <c r="A258" s="5">
        <v>14004</v>
      </c>
      <c r="B258" s="5" t="s">
        <v>632</v>
      </c>
      <c r="C258" s="1">
        <v>4</v>
      </c>
      <c r="E258" s="7" t="s">
        <v>161</v>
      </c>
      <c r="G258" s="7" t="s">
        <v>633</v>
      </c>
      <c r="M258" s="7" t="s">
        <v>69</v>
      </c>
      <c r="P258" s="1" t="s">
        <v>253</v>
      </c>
      <c r="T258" s="1">
        <v>50</v>
      </c>
      <c r="U258" s="1">
        <v>20302</v>
      </c>
      <c r="V258" s="1" t="s">
        <v>243</v>
      </c>
      <c r="Z258" s="1">
        <v>1</v>
      </c>
    </row>
    <row r="259" spans="1:26" x14ac:dyDescent="0.15">
      <c r="A259" s="5">
        <v>14005</v>
      </c>
      <c r="B259" s="5" t="s">
        <v>634</v>
      </c>
      <c r="C259" s="1">
        <v>4</v>
      </c>
      <c r="E259" s="7" t="s">
        <v>161</v>
      </c>
      <c r="G259" s="7" t="s">
        <v>635</v>
      </c>
      <c r="M259" s="7" t="s">
        <v>69</v>
      </c>
      <c r="P259" s="1" t="s">
        <v>541</v>
      </c>
      <c r="T259" s="1">
        <v>50</v>
      </c>
      <c r="U259" s="1">
        <v>20302</v>
      </c>
      <c r="V259" s="1" t="s">
        <v>243</v>
      </c>
      <c r="Z259" s="1">
        <v>1</v>
      </c>
    </row>
    <row r="260" spans="1:26" x14ac:dyDescent="0.15">
      <c r="A260" s="5">
        <v>14006</v>
      </c>
      <c r="B260" s="5" t="s">
        <v>636</v>
      </c>
      <c r="C260" s="1">
        <v>4</v>
      </c>
      <c r="G260" s="7" t="s">
        <v>324</v>
      </c>
      <c r="K260" s="7" t="s">
        <v>637</v>
      </c>
      <c r="N260" s="1">
        <v>3</v>
      </c>
      <c r="S260" s="1">
        <v>10</v>
      </c>
      <c r="U260" s="1">
        <v>20302</v>
      </c>
      <c r="V260" s="1" t="s">
        <v>243</v>
      </c>
      <c r="Z260" s="1">
        <v>1</v>
      </c>
    </row>
    <row r="261" spans="1:26" ht="33" x14ac:dyDescent="0.15">
      <c r="A261" s="5">
        <v>14007</v>
      </c>
      <c r="B261" s="6" t="s">
        <v>638</v>
      </c>
      <c r="C261" s="1">
        <v>4</v>
      </c>
      <c r="E261" s="7" t="s">
        <v>74</v>
      </c>
      <c r="G261" s="7" t="s">
        <v>639</v>
      </c>
      <c r="K261" s="7" t="s">
        <v>640</v>
      </c>
      <c r="N261" s="1">
        <v>1</v>
      </c>
      <c r="O261" s="1">
        <v>4</v>
      </c>
      <c r="P261" s="1" t="s">
        <v>641</v>
      </c>
      <c r="S261" s="1">
        <v>3</v>
      </c>
      <c r="T261" s="1">
        <v>3</v>
      </c>
      <c r="U261" s="1">
        <v>20502</v>
      </c>
      <c r="V261" s="1" t="s">
        <v>176</v>
      </c>
      <c r="Z261" s="1">
        <v>1</v>
      </c>
    </row>
    <row r="262" spans="1:26" ht="33" x14ac:dyDescent="0.15">
      <c r="A262" s="5">
        <v>14008</v>
      </c>
      <c r="B262" s="6" t="s">
        <v>642</v>
      </c>
      <c r="C262" s="1">
        <v>4</v>
      </c>
      <c r="E262" s="7" t="s">
        <v>74</v>
      </c>
      <c r="G262" s="7" t="s">
        <v>643</v>
      </c>
      <c r="K262" s="7" t="s">
        <v>644</v>
      </c>
      <c r="N262" s="1">
        <v>1</v>
      </c>
      <c r="O262" s="1">
        <v>4</v>
      </c>
      <c r="P262" s="1" t="s">
        <v>253</v>
      </c>
      <c r="S262" s="1">
        <v>3</v>
      </c>
      <c r="T262" s="1">
        <v>3</v>
      </c>
      <c r="U262" s="1">
        <v>20502</v>
      </c>
      <c r="V262" s="1" t="s">
        <v>176</v>
      </c>
      <c r="Z262" s="1">
        <v>1</v>
      </c>
    </row>
    <row r="263" spans="1:26" x14ac:dyDescent="0.15">
      <c r="A263" s="5">
        <v>14009</v>
      </c>
      <c r="B263" s="5" t="s">
        <v>645</v>
      </c>
      <c r="C263" s="1">
        <v>4</v>
      </c>
      <c r="E263" s="7" t="s">
        <v>646</v>
      </c>
      <c r="G263" s="7" t="s">
        <v>647</v>
      </c>
      <c r="M263" s="7" t="s">
        <v>132</v>
      </c>
      <c r="N263" s="1">
        <v>2</v>
      </c>
      <c r="P263" s="1" t="s">
        <v>253</v>
      </c>
      <c r="T263" s="1">
        <v>15</v>
      </c>
      <c r="U263" s="1">
        <v>20406</v>
      </c>
      <c r="V263" s="1" t="s">
        <v>648</v>
      </c>
      <c r="Z263" s="1">
        <v>1</v>
      </c>
    </row>
    <row r="264" spans="1:26" x14ac:dyDescent="0.15">
      <c r="A264" s="5">
        <v>14010</v>
      </c>
      <c r="B264" s="5" t="s">
        <v>649</v>
      </c>
      <c r="C264" s="1">
        <v>4</v>
      </c>
      <c r="G264" s="7" t="s">
        <v>650</v>
      </c>
      <c r="U264" s="1">
        <v>20302</v>
      </c>
      <c r="V264" s="1" t="s">
        <v>243</v>
      </c>
      <c r="Z264" s="1">
        <v>1</v>
      </c>
    </row>
    <row r="265" spans="1:26" x14ac:dyDescent="0.15">
      <c r="A265" s="5">
        <v>14011</v>
      </c>
      <c r="B265" s="5" t="s">
        <v>651</v>
      </c>
      <c r="C265" s="1">
        <v>4</v>
      </c>
      <c r="E265" s="7" t="s">
        <v>78</v>
      </c>
      <c r="G265" s="7" t="s">
        <v>652</v>
      </c>
      <c r="U265" s="1">
        <v>20302</v>
      </c>
      <c r="V265" s="1" t="s">
        <v>243</v>
      </c>
      <c r="Z265" s="1">
        <v>1</v>
      </c>
    </row>
    <row r="266" spans="1:26" x14ac:dyDescent="0.15">
      <c r="A266" s="5">
        <v>14012</v>
      </c>
      <c r="B266" s="5" t="s">
        <v>653</v>
      </c>
      <c r="C266" s="1">
        <v>4</v>
      </c>
      <c r="U266" s="1">
        <v>20505</v>
      </c>
      <c r="V266" s="1" t="s">
        <v>211</v>
      </c>
      <c r="Z266" s="1">
        <v>1</v>
      </c>
    </row>
    <row r="267" spans="1:26" x14ac:dyDescent="0.15">
      <c r="A267" s="5">
        <v>14013</v>
      </c>
      <c r="B267" s="5" t="s">
        <v>654</v>
      </c>
      <c r="C267" s="1">
        <v>4</v>
      </c>
      <c r="E267" s="7" t="s">
        <v>622</v>
      </c>
      <c r="G267" s="7" t="s">
        <v>655</v>
      </c>
      <c r="P267" s="1" t="s">
        <v>656</v>
      </c>
      <c r="R267" s="1">
        <v>1</v>
      </c>
      <c r="U267" s="1">
        <v>20505</v>
      </c>
      <c r="V267" s="1" t="s">
        <v>211</v>
      </c>
      <c r="Z267" s="1">
        <v>1</v>
      </c>
    </row>
    <row r="268" spans="1:26" x14ac:dyDescent="0.15">
      <c r="A268" s="5">
        <v>14014</v>
      </c>
      <c r="B268" s="6" t="s">
        <v>657</v>
      </c>
      <c r="C268" s="1">
        <v>4</v>
      </c>
      <c r="E268" s="7" t="s">
        <v>658</v>
      </c>
      <c r="G268" s="7" t="s">
        <v>647</v>
      </c>
      <c r="P268" s="1" t="s">
        <v>541</v>
      </c>
      <c r="R268" s="1">
        <v>2</v>
      </c>
      <c r="U268" s="1">
        <v>20505</v>
      </c>
      <c r="V268" s="1" t="s">
        <v>211</v>
      </c>
      <c r="Z268" s="1">
        <v>1</v>
      </c>
    </row>
    <row r="269" spans="1:26" x14ac:dyDescent="0.15">
      <c r="A269" s="5">
        <v>14015</v>
      </c>
      <c r="B269" s="5" t="s">
        <v>659</v>
      </c>
      <c r="C269" s="1">
        <v>4</v>
      </c>
      <c r="E269" s="7" t="s">
        <v>660</v>
      </c>
      <c r="G269" s="7" t="s">
        <v>647</v>
      </c>
      <c r="P269" s="1" t="s">
        <v>661</v>
      </c>
      <c r="R269" s="1">
        <v>1</v>
      </c>
      <c r="T269" s="1">
        <v>10</v>
      </c>
      <c r="U269" s="1">
        <v>20304</v>
      </c>
      <c r="V269" s="1" t="s">
        <v>244</v>
      </c>
      <c r="Z269" s="1">
        <v>1</v>
      </c>
    </row>
    <row r="270" spans="1:26" ht="33" x14ac:dyDescent="0.15">
      <c r="A270" s="5">
        <v>14016</v>
      </c>
      <c r="B270" s="5" t="s">
        <v>662</v>
      </c>
      <c r="C270" s="1">
        <v>4</v>
      </c>
      <c r="E270" s="7" t="s">
        <v>663</v>
      </c>
      <c r="G270" s="7" t="s">
        <v>664</v>
      </c>
      <c r="N270" s="1">
        <v>3</v>
      </c>
      <c r="T270" s="1">
        <v>10</v>
      </c>
      <c r="U270" s="1">
        <v>20602</v>
      </c>
      <c r="V270" s="1" t="s">
        <v>613</v>
      </c>
      <c r="Z270" s="1">
        <v>1</v>
      </c>
    </row>
    <row r="271" spans="1:26" ht="33" x14ac:dyDescent="0.15">
      <c r="A271" s="5">
        <v>14017</v>
      </c>
      <c r="B271" s="5" t="s">
        <v>665</v>
      </c>
      <c r="C271" s="1">
        <v>4</v>
      </c>
      <c r="E271" s="7" t="s">
        <v>666</v>
      </c>
      <c r="G271" s="7" t="s">
        <v>667</v>
      </c>
      <c r="K271" s="7" t="s">
        <v>668</v>
      </c>
      <c r="P271" s="1" t="s">
        <v>669</v>
      </c>
      <c r="R271" s="1">
        <v>2</v>
      </c>
      <c r="U271" s="1">
        <v>20602</v>
      </c>
      <c r="V271" s="1" t="s">
        <v>613</v>
      </c>
      <c r="Z271" s="1">
        <v>1</v>
      </c>
    </row>
    <row r="272" spans="1:26" x14ac:dyDescent="0.15">
      <c r="A272" s="5">
        <v>14018</v>
      </c>
      <c r="B272" s="5" t="s">
        <v>670</v>
      </c>
      <c r="C272" s="1">
        <v>4</v>
      </c>
      <c r="E272" s="7" t="s">
        <v>84</v>
      </c>
      <c r="G272" s="7" t="s">
        <v>85</v>
      </c>
      <c r="N272" s="1">
        <v>1</v>
      </c>
      <c r="O272" s="1">
        <v>0</v>
      </c>
      <c r="P272" s="1" t="s">
        <v>144</v>
      </c>
      <c r="R272" s="1">
        <v>3</v>
      </c>
      <c r="U272" s="1">
        <v>20101</v>
      </c>
      <c r="V272" s="1" t="s">
        <v>68</v>
      </c>
    </row>
    <row r="273" spans="1:26" ht="33" x14ac:dyDescent="0.15">
      <c r="A273" s="5">
        <v>14019</v>
      </c>
      <c r="B273" s="5" t="s">
        <v>671</v>
      </c>
      <c r="C273" s="1">
        <v>4</v>
      </c>
      <c r="E273" s="7" t="s">
        <v>672</v>
      </c>
      <c r="G273" s="7" t="s">
        <v>673</v>
      </c>
      <c r="T273" s="1">
        <v>10</v>
      </c>
      <c r="U273" s="1">
        <v>20301</v>
      </c>
      <c r="V273" s="1" t="s">
        <v>56</v>
      </c>
      <c r="Z273" s="1">
        <v>1</v>
      </c>
    </row>
    <row r="274" spans="1:26" ht="33" x14ac:dyDescent="0.15">
      <c r="A274" s="5">
        <v>14020</v>
      </c>
      <c r="B274" s="6" t="s">
        <v>674</v>
      </c>
      <c r="C274" s="1">
        <v>4</v>
      </c>
      <c r="E274" s="7" t="s">
        <v>663</v>
      </c>
      <c r="G274" s="7" t="s">
        <v>675</v>
      </c>
      <c r="P274" s="1" t="s">
        <v>676</v>
      </c>
      <c r="T274" s="1">
        <v>15</v>
      </c>
      <c r="U274" s="1">
        <v>20303</v>
      </c>
      <c r="V274" s="1" t="s">
        <v>73</v>
      </c>
      <c r="Z274" s="1">
        <v>1</v>
      </c>
    </row>
    <row r="275" spans="1:26" x14ac:dyDescent="0.15">
      <c r="A275" s="5">
        <v>14021</v>
      </c>
      <c r="B275" s="5" t="s">
        <v>677</v>
      </c>
      <c r="C275" s="1">
        <v>4</v>
      </c>
      <c r="E275" s="7" t="s">
        <v>678</v>
      </c>
      <c r="G275" s="7" t="s">
        <v>679</v>
      </c>
      <c r="K275" s="7" t="s">
        <v>680</v>
      </c>
      <c r="O275" s="1">
        <v>99</v>
      </c>
      <c r="P275" s="1" t="s">
        <v>676</v>
      </c>
      <c r="T275" s="1">
        <v>7500</v>
      </c>
      <c r="U275" s="1">
        <v>20001</v>
      </c>
      <c r="V275" s="1" t="s">
        <v>97</v>
      </c>
      <c r="Z275" s="1">
        <v>0</v>
      </c>
    </row>
    <row r="276" spans="1:26" x14ac:dyDescent="0.15">
      <c r="A276" s="5">
        <v>14022</v>
      </c>
      <c r="B276" s="5" t="s">
        <v>677</v>
      </c>
      <c r="C276" s="1">
        <v>4</v>
      </c>
      <c r="E276" s="7" t="s">
        <v>678</v>
      </c>
      <c r="G276" s="7" t="s">
        <v>681</v>
      </c>
      <c r="K276" s="7" t="s">
        <v>680</v>
      </c>
      <c r="O276" s="1">
        <v>99</v>
      </c>
      <c r="P276" s="1" t="s">
        <v>676</v>
      </c>
      <c r="T276" s="1">
        <v>7500</v>
      </c>
      <c r="U276" s="1">
        <v>20001</v>
      </c>
      <c r="V276" s="1" t="s">
        <v>97</v>
      </c>
      <c r="Z276" s="1">
        <v>0</v>
      </c>
    </row>
    <row r="277" spans="1:26" x14ac:dyDescent="0.15">
      <c r="A277" s="5">
        <v>14023</v>
      </c>
      <c r="B277" s="5" t="s">
        <v>682</v>
      </c>
      <c r="C277" s="1">
        <v>4</v>
      </c>
      <c r="G277" s="7" t="s">
        <v>683</v>
      </c>
      <c r="I277" s="7" t="s">
        <v>684</v>
      </c>
      <c r="O277" s="1">
        <v>99</v>
      </c>
      <c r="P277" s="1" t="s">
        <v>350</v>
      </c>
      <c r="T277" s="1">
        <v>500</v>
      </c>
      <c r="U277" s="1">
        <v>20001</v>
      </c>
      <c r="V277" s="1" t="s">
        <v>97</v>
      </c>
      <c r="Z277" s="1">
        <v>0</v>
      </c>
    </row>
    <row r="278" spans="1:26" x14ac:dyDescent="0.15">
      <c r="A278" s="5">
        <v>14024</v>
      </c>
      <c r="B278" s="5" t="s">
        <v>682</v>
      </c>
      <c r="C278" s="1">
        <v>4</v>
      </c>
      <c r="G278" s="7" t="s">
        <v>685</v>
      </c>
      <c r="I278" s="7" t="s">
        <v>684</v>
      </c>
      <c r="O278" s="1">
        <v>99</v>
      </c>
      <c r="P278" s="1" t="s">
        <v>350</v>
      </c>
      <c r="T278" s="1">
        <v>500</v>
      </c>
      <c r="U278" s="1">
        <v>20001</v>
      </c>
      <c r="V278" s="1" t="s">
        <v>97</v>
      </c>
      <c r="Z278" s="1">
        <v>0</v>
      </c>
    </row>
    <row r="279" spans="1:26" x14ac:dyDescent="0.15">
      <c r="A279" s="5">
        <v>14025</v>
      </c>
      <c r="B279" s="5" t="s">
        <v>686</v>
      </c>
      <c r="C279" s="1">
        <v>4</v>
      </c>
      <c r="E279" s="7" t="s">
        <v>687</v>
      </c>
      <c r="G279" s="7" t="s">
        <v>53</v>
      </c>
      <c r="I279" s="7" t="s">
        <v>688</v>
      </c>
      <c r="P279" s="1" t="s">
        <v>689</v>
      </c>
      <c r="T279" s="1">
        <v>25</v>
      </c>
      <c r="U279" s="1">
        <v>20001</v>
      </c>
      <c r="V279" s="1" t="s">
        <v>97</v>
      </c>
      <c r="Z279" s="1">
        <v>1</v>
      </c>
    </row>
    <row r="280" spans="1:26" x14ac:dyDescent="0.15">
      <c r="A280" s="5">
        <v>14026</v>
      </c>
      <c r="B280" s="5" t="s">
        <v>686</v>
      </c>
      <c r="C280" s="1">
        <v>4</v>
      </c>
      <c r="E280" s="7" t="s">
        <v>687</v>
      </c>
      <c r="G280" s="7" t="s">
        <v>53</v>
      </c>
      <c r="I280" s="7" t="s">
        <v>688</v>
      </c>
      <c r="P280" s="1" t="s">
        <v>690</v>
      </c>
      <c r="T280" s="1">
        <v>25</v>
      </c>
      <c r="U280" s="1">
        <v>20001</v>
      </c>
      <c r="V280" s="1" t="s">
        <v>97</v>
      </c>
      <c r="Z280" s="1">
        <v>1</v>
      </c>
    </row>
    <row r="281" spans="1:26" x14ac:dyDescent="0.15">
      <c r="A281" s="5">
        <v>14027</v>
      </c>
      <c r="B281" s="5" t="s">
        <v>691</v>
      </c>
      <c r="C281" s="1">
        <v>4</v>
      </c>
      <c r="G281" s="7" t="s">
        <v>692</v>
      </c>
      <c r="M281" s="7" t="s">
        <v>693</v>
      </c>
      <c r="N281" s="1">
        <v>3</v>
      </c>
      <c r="O281" s="1">
        <v>5</v>
      </c>
      <c r="P281" s="1" t="s">
        <v>77</v>
      </c>
      <c r="U281" s="1">
        <v>20502</v>
      </c>
      <c r="V281" s="1" t="s">
        <v>176</v>
      </c>
      <c r="Z281" s="1">
        <v>1</v>
      </c>
    </row>
    <row r="282" spans="1:26" x14ac:dyDescent="0.15">
      <c r="A282" s="5">
        <v>14028</v>
      </c>
      <c r="B282" s="5" t="s">
        <v>694</v>
      </c>
      <c r="C282" s="1">
        <v>4</v>
      </c>
      <c r="E282" s="7" t="s">
        <v>695</v>
      </c>
      <c r="G282" s="7" t="s">
        <v>696</v>
      </c>
      <c r="M282" s="7" t="s">
        <v>697</v>
      </c>
      <c r="U282" s="1">
        <v>20502</v>
      </c>
      <c r="V282" s="1" t="s">
        <v>176</v>
      </c>
      <c r="Z282" s="1">
        <v>1</v>
      </c>
    </row>
    <row r="283" spans="1:26" x14ac:dyDescent="0.15">
      <c r="A283" s="5">
        <v>14029</v>
      </c>
      <c r="B283" s="5" t="s">
        <v>698</v>
      </c>
      <c r="C283" s="1">
        <v>4</v>
      </c>
      <c r="U283" s="1">
        <v>20702</v>
      </c>
      <c r="V283" s="1" t="s">
        <v>114</v>
      </c>
      <c r="Z283" s="1">
        <v>1</v>
      </c>
    </row>
    <row r="284" spans="1:26" ht="49.5" x14ac:dyDescent="0.15">
      <c r="A284" s="5">
        <v>14030</v>
      </c>
      <c r="B284" s="5" t="s">
        <v>699</v>
      </c>
      <c r="C284" s="1">
        <v>4</v>
      </c>
      <c r="E284" s="7" t="s">
        <v>700</v>
      </c>
      <c r="G284" s="7" t="s">
        <v>248</v>
      </c>
      <c r="I284" s="7" t="s">
        <v>701</v>
      </c>
      <c r="K284" s="7" t="s">
        <v>129</v>
      </c>
      <c r="P284" s="1" t="s">
        <v>108</v>
      </c>
      <c r="Q284" s="9" t="s">
        <v>109</v>
      </c>
      <c r="U284" s="1">
        <v>20001</v>
      </c>
      <c r="V284" s="1" t="s">
        <v>97</v>
      </c>
      <c r="Z284" s="1">
        <v>1</v>
      </c>
    </row>
    <row r="285" spans="1:26" x14ac:dyDescent="0.15">
      <c r="A285" s="5">
        <v>14031</v>
      </c>
      <c r="B285" s="5" t="s">
        <v>702</v>
      </c>
      <c r="C285" s="1">
        <v>4</v>
      </c>
      <c r="G285" s="7" t="s">
        <v>703</v>
      </c>
      <c r="M285" s="7" t="s">
        <v>704</v>
      </c>
      <c r="O285" s="1">
        <v>1</v>
      </c>
      <c r="P285" s="1" t="s">
        <v>116</v>
      </c>
      <c r="U285" s="1">
        <v>20301</v>
      </c>
      <c r="V285" s="1" t="s">
        <v>56</v>
      </c>
      <c r="Z285" s="1">
        <v>1</v>
      </c>
    </row>
    <row r="286" spans="1:26" ht="33" x14ac:dyDescent="0.15">
      <c r="A286" s="5">
        <v>14032</v>
      </c>
      <c r="B286" s="5" t="s">
        <v>705</v>
      </c>
      <c r="C286" s="1">
        <v>4</v>
      </c>
      <c r="E286" s="7" t="s">
        <v>663</v>
      </c>
      <c r="G286" s="7" t="s">
        <v>706</v>
      </c>
      <c r="K286" s="7" t="s">
        <v>266</v>
      </c>
      <c r="O286" s="1">
        <v>5</v>
      </c>
      <c r="P286" s="1" t="s">
        <v>560</v>
      </c>
      <c r="S286" s="1">
        <v>10</v>
      </c>
      <c r="U286" s="1">
        <v>20402</v>
      </c>
      <c r="V286" s="1" t="s">
        <v>376</v>
      </c>
    </row>
    <row r="287" spans="1:26" x14ac:dyDescent="0.15">
      <c r="A287" s="5">
        <v>14033</v>
      </c>
      <c r="B287" s="5" t="s">
        <v>707</v>
      </c>
      <c r="C287" s="1">
        <v>4</v>
      </c>
      <c r="G287" s="7" t="s">
        <v>708</v>
      </c>
      <c r="O287" s="1">
        <v>12</v>
      </c>
      <c r="U287" s="1">
        <v>20407</v>
      </c>
      <c r="V287" s="1" t="s">
        <v>604</v>
      </c>
    </row>
    <row r="288" spans="1:26" ht="33" x14ac:dyDescent="0.15">
      <c r="A288" s="5">
        <v>14034</v>
      </c>
      <c r="B288" s="5" t="s">
        <v>709</v>
      </c>
      <c r="C288" s="1">
        <v>4</v>
      </c>
      <c r="G288" s="7" t="s">
        <v>710</v>
      </c>
      <c r="O288" s="1">
        <v>7</v>
      </c>
      <c r="P288" s="1" t="s">
        <v>77</v>
      </c>
      <c r="U288" s="1">
        <v>20603</v>
      </c>
      <c r="V288" s="1" t="s">
        <v>711</v>
      </c>
    </row>
    <row r="289" spans="1:22" ht="33" x14ac:dyDescent="0.15">
      <c r="A289" s="5">
        <v>14035</v>
      </c>
      <c r="B289" s="5" t="s">
        <v>712</v>
      </c>
      <c r="C289" s="1">
        <v>4</v>
      </c>
      <c r="E289" s="7" t="s">
        <v>713</v>
      </c>
      <c r="G289" s="7" t="s">
        <v>714</v>
      </c>
      <c r="O289" s="1">
        <v>2</v>
      </c>
      <c r="U289" s="1">
        <v>20603</v>
      </c>
      <c r="V289" s="1" t="s">
        <v>711</v>
      </c>
    </row>
    <row r="290" spans="1:22" x14ac:dyDescent="0.15">
      <c r="A290" s="5">
        <v>14036</v>
      </c>
      <c r="B290" s="5" t="s">
        <v>715</v>
      </c>
      <c r="C290" s="1">
        <v>4</v>
      </c>
      <c r="E290" s="7" t="s">
        <v>716</v>
      </c>
      <c r="G290" s="7" t="s">
        <v>717</v>
      </c>
      <c r="I290" s="7" t="s">
        <v>718</v>
      </c>
      <c r="O290" s="1">
        <v>99</v>
      </c>
      <c r="S290" s="1">
        <v>50</v>
      </c>
      <c r="U290" s="1">
        <v>20001</v>
      </c>
      <c r="V290" s="1" t="s">
        <v>97</v>
      </c>
    </row>
    <row r="291" spans="1:22" x14ac:dyDescent="0.15">
      <c r="A291" s="5">
        <v>14037</v>
      </c>
      <c r="B291" s="5" t="s">
        <v>719</v>
      </c>
      <c r="C291" s="1">
        <v>4</v>
      </c>
      <c r="E291" s="7" t="s">
        <v>716</v>
      </c>
      <c r="G291" s="7" t="s">
        <v>720</v>
      </c>
      <c r="I291" s="7" t="s">
        <v>721</v>
      </c>
      <c r="O291" s="1">
        <v>99</v>
      </c>
      <c r="T291" s="1">
        <v>50</v>
      </c>
      <c r="U291" s="1">
        <v>20001</v>
      </c>
      <c r="V291" s="1" t="s">
        <v>97</v>
      </c>
    </row>
    <row r="292" spans="1:22" ht="33" x14ac:dyDescent="0.15">
      <c r="A292" s="5">
        <v>14038</v>
      </c>
      <c r="B292" s="5" t="s">
        <v>722</v>
      </c>
      <c r="C292" s="1">
        <v>4</v>
      </c>
      <c r="G292" s="7" t="s">
        <v>723</v>
      </c>
      <c r="I292" s="7" t="s">
        <v>724</v>
      </c>
      <c r="O292" s="1">
        <v>10</v>
      </c>
      <c r="U292" s="1">
        <v>20302</v>
      </c>
      <c r="V292" s="1" t="s">
        <v>243</v>
      </c>
    </row>
    <row r="293" spans="1:22" x14ac:dyDescent="0.15">
      <c r="A293" s="5">
        <v>14039</v>
      </c>
      <c r="B293" s="21" t="s">
        <v>725</v>
      </c>
      <c r="C293" s="1">
        <v>4</v>
      </c>
      <c r="E293" s="7" t="s">
        <v>122</v>
      </c>
      <c r="G293" s="7" t="s">
        <v>248</v>
      </c>
      <c r="K293" s="7" t="s">
        <v>251</v>
      </c>
      <c r="M293" s="7" t="s">
        <v>726</v>
      </c>
      <c r="O293" s="1">
        <v>6</v>
      </c>
      <c r="T293" s="1">
        <v>10</v>
      </c>
      <c r="U293" s="1">
        <v>20701</v>
      </c>
      <c r="V293" s="1" t="s">
        <v>174</v>
      </c>
    </row>
    <row r="294" spans="1:22" x14ac:dyDescent="0.15">
      <c r="A294" s="5">
        <v>14040</v>
      </c>
      <c r="B294" s="5" t="s">
        <v>727</v>
      </c>
      <c r="C294" s="1">
        <v>4</v>
      </c>
      <c r="E294" s="7" t="s">
        <v>105</v>
      </c>
      <c r="G294" s="7" t="s">
        <v>728</v>
      </c>
      <c r="O294" s="1">
        <v>5</v>
      </c>
      <c r="T294" s="1">
        <v>5</v>
      </c>
      <c r="U294" s="1">
        <v>20205</v>
      </c>
      <c r="V294" s="1" t="s">
        <v>124</v>
      </c>
    </row>
    <row r="295" spans="1:22" x14ac:dyDescent="0.15">
      <c r="A295" s="5">
        <v>14041</v>
      </c>
      <c r="B295" s="5" t="s">
        <v>729</v>
      </c>
      <c r="C295" s="1">
        <v>4</v>
      </c>
      <c r="E295" s="7" t="s">
        <v>730</v>
      </c>
      <c r="G295" s="7" t="s">
        <v>731</v>
      </c>
      <c r="O295" s="1">
        <v>7</v>
      </c>
      <c r="P295" s="1" t="s">
        <v>253</v>
      </c>
      <c r="T295" s="1">
        <v>15</v>
      </c>
      <c r="U295" s="1">
        <v>20402</v>
      </c>
      <c r="V295" s="1" t="s">
        <v>379</v>
      </c>
    </row>
    <row r="296" spans="1:22" x14ac:dyDescent="0.15">
      <c r="A296" s="5">
        <v>14042</v>
      </c>
      <c r="B296" s="5" t="s">
        <v>732</v>
      </c>
      <c r="C296" s="1">
        <v>4</v>
      </c>
      <c r="G296" s="7" t="s">
        <v>733</v>
      </c>
      <c r="K296" s="7" t="s">
        <v>734</v>
      </c>
      <c r="P296" s="1" t="s">
        <v>224</v>
      </c>
      <c r="S296" s="1">
        <v>5</v>
      </c>
      <c r="U296" s="1">
        <v>20201</v>
      </c>
      <c r="V296" s="1" t="s">
        <v>61</v>
      </c>
    </row>
    <row r="297" spans="1:22" ht="33" x14ac:dyDescent="0.15">
      <c r="A297" s="5">
        <v>14043</v>
      </c>
      <c r="C297" s="1">
        <v>4</v>
      </c>
      <c r="G297" s="7" t="s">
        <v>735</v>
      </c>
      <c r="I297" s="7" t="s">
        <v>736</v>
      </c>
      <c r="P297" s="1" t="s">
        <v>103</v>
      </c>
      <c r="T297" s="1">
        <v>30</v>
      </c>
      <c r="U297" s="1">
        <v>20201</v>
      </c>
      <c r="V297" s="1" t="s">
        <v>61</v>
      </c>
    </row>
    <row r="298" spans="1:22" x14ac:dyDescent="0.15">
      <c r="A298" s="5">
        <v>14044</v>
      </c>
      <c r="B298" s="5" t="s">
        <v>737</v>
      </c>
      <c r="C298" s="1">
        <v>4</v>
      </c>
      <c r="G298" s="7" t="s">
        <v>738</v>
      </c>
      <c r="I298" s="7" t="s">
        <v>739</v>
      </c>
      <c r="U298" s="1">
        <v>20201</v>
      </c>
      <c r="V298" s="1" t="s">
        <v>61</v>
      </c>
    </row>
    <row r="299" spans="1:22" x14ac:dyDescent="0.15">
      <c r="A299" s="5">
        <v>14045</v>
      </c>
      <c r="B299" s="5" t="s">
        <v>740</v>
      </c>
      <c r="C299" s="1">
        <v>4</v>
      </c>
    </row>
    <row r="300" spans="1:22" ht="33" x14ac:dyDescent="0.15">
      <c r="A300" s="5">
        <v>14046</v>
      </c>
      <c r="B300" s="5" t="s">
        <v>741</v>
      </c>
      <c r="C300" s="1">
        <v>4</v>
      </c>
      <c r="G300" s="7" t="s">
        <v>742</v>
      </c>
      <c r="N300" s="1">
        <v>6</v>
      </c>
      <c r="O300" s="1">
        <v>9</v>
      </c>
      <c r="U300" s="1">
        <v>20402</v>
      </c>
      <c r="V300" s="1" t="s">
        <v>534</v>
      </c>
    </row>
    <row r="301" spans="1:22" x14ac:dyDescent="0.15">
      <c r="A301" s="5">
        <v>14047</v>
      </c>
      <c r="B301" s="5" t="s">
        <v>743</v>
      </c>
      <c r="C301" s="1">
        <v>4</v>
      </c>
      <c r="E301" s="7" t="s">
        <v>744</v>
      </c>
      <c r="G301" s="7" t="s">
        <v>745</v>
      </c>
      <c r="N301" s="1">
        <v>1</v>
      </c>
      <c r="O301" s="1">
        <v>5</v>
      </c>
      <c r="P301" s="1" t="s">
        <v>144</v>
      </c>
      <c r="R301" s="1">
        <v>2</v>
      </c>
      <c r="U301" s="1">
        <v>20407</v>
      </c>
      <c r="V301" s="1" t="s">
        <v>604</v>
      </c>
    </row>
    <row r="302" spans="1:22" x14ac:dyDescent="0.15">
      <c r="A302" s="5">
        <v>14048</v>
      </c>
      <c r="C302" s="1">
        <v>4</v>
      </c>
      <c r="U302" s="1">
        <v>20201</v>
      </c>
      <c r="V302" s="1" t="s">
        <v>61</v>
      </c>
    </row>
    <row r="303" spans="1:22" x14ac:dyDescent="0.15">
      <c r="A303" s="5">
        <v>14049</v>
      </c>
      <c r="C303" s="1">
        <v>4</v>
      </c>
      <c r="E303" s="7" t="s">
        <v>74</v>
      </c>
      <c r="G303" s="7" t="s">
        <v>746</v>
      </c>
      <c r="N303" s="1">
        <v>6</v>
      </c>
      <c r="P303" s="1" t="s">
        <v>54</v>
      </c>
      <c r="U303" s="1">
        <v>20307</v>
      </c>
      <c r="V303" s="1" t="s">
        <v>260</v>
      </c>
    </row>
    <row r="304" spans="1:22" x14ac:dyDescent="0.15">
      <c r="A304" s="5">
        <v>14050</v>
      </c>
      <c r="C304" s="1">
        <v>4</v>
      </c>
      <c r="E304" s="7" t="s">
        <v>74</v>
      </c>
      <c r="G304" s="7" t="s">
        <v>747</v>
      </c>
      <c r="N304" s="1">
        <v>6</v>
      </c>
      <c r="P304" s="1" t="s">
        <v>424</v>
      </c>
      <c r="U304" s="1">
        <v>20307</v>
      </c>
      <c r="V304" s="1" t="s">
        <v>260</v>
      </c>
    </row>
    <row r="305" spans="1:22" x14ac:dyDescent="0.15">
      <c r="A305" s="5">
        <v>14051</v>
      </c>
      <c r="C305" s="1">
        <v>4</v>
      </c>
      <c r="E305" s="7" t="s">
        <v>74</v>
      </c>
      <c r="G305" s="7" t="s">
        <v>748</v>
      </c>
      <c r="N305" s="1">
        <v>6</v>
      </c>
      <c r="P305" s="1" t="s">
        <v>103</v>
      </c>
      <c r="U305" s="1">
        <v>20307</v>
      </c>
      <c r="V305" s="1" t="s">
        <v>260</v>
      </c>
    </row>
    <row r="306" spans="1:22" x14ac:dyDescent="0.15">
      <c r="A306" s="5">
        <v>14052</v>
      </c>
      <c r="B306" s="5" t="s">
        <v>749</v>
      </c>
      <c r="C306" s="1">
        <v>4</v>
      </c>
      <c r="E306" s="7" t="s">
        <v>554</v>
      </c>
      <c r="G306" s="7" t="s">
        <v>750</v>
      </c>
      <c r="M306" s="7" t="s">
        <v>386</v>
      </c>
      <c r="N306" s="1">
        <v>4</v>
      </c>
      <c r="O306" s="1">
        <v>1</v>
      </c>
      <c r="P306" s="1" t="s">
        <v>224</v>
      </c>
      <c r="S306" s="1">
        <v>50</v>
      </c>
      <c r="U306" s="1">
        <v>20507</v>
      </c>
      <c r="V306" s="1" t="s">
        <v>261</v>
      </c>
    </row>
    <row r="307" spans="1:22" x14ac:dyDescent="0.15">
      <c r="A307" s="5">
        <v>14053</v>
      </c>
      <c r="B307" s="5" t="s">
        <v>751</v>
      </c>
      <c r="C307" s="1">
        <v>4</v>
      </c>
      <c r="E307" s="7" t="s">
        <v>752</v>
      </c>
      <c r="G307" s="7" t="s">
        <v>753</v>
      </c>
      <c r="M307" s="7" t="s">
        <v>754</v>
      </c>
      <c r="N307" s="1">
        <v>5</v>
      </c>
      <c r="O307" s="1">
        <v>1</v>
      </c>
      <c r="P307" s="1" t="s">
        <v>224</v>
      </c>
      <c r="S307" s="1">
        <v>25</v>
      </c>
      <c r="T307" s="1">
        <v>25</v>
      </c>
      <c r="U307" s="1">
        <v>20507</v>
      </c>
      <c r="V307" s="1" t="s">
        <v>261</v>
      </c>
    </row>
    <row r="308" spans="1:22" ht="33" x14ac:dyDescent="0.15">
      <c r="A308" s="5">
        <v>14054</v>
      </c>
      <c r="B308" s="5" t="s">
        <v>755</v>
      </c>
      <c r="C308" s="1">
        <v>4</v>
      </c>
      <c r="E308" s="7" t="s">
        <v>756</v>
      </c>
      <c r="G308" s="7" t="s">
        <v>757</v>
      </c>
      <c r="M308" s="7" t="s">
        <v>758</v>
      </c>
      <c r="N308" s="1">
        <v>6</v>
      </c>
      <c r="O308" s="1">
        <v>1</v>
      </c>
      <c r="P308" s="1" t="s">
        <v>224</v>
      </c>
      <c r="T308" s="1">
        <v>50</v>
      </c>
      <c r="U308" s="1">
        <v>20507</v>
      </c>
      <c r="V308" s="1" t="s">
        <v>261</v>
      </c>
    </row>
    <row r="309" spans="1:22" x14ac:dyDescent="0.15">
      <c r="A309" s="5">
        <v>14055</v>
      </c>
      <c r="C309" s="1">
        <v>4</v>
      </c>
      <c r="G309" s="7" t="s">
        <v>759</v>
      </c>
      <c r="K309" s="7" t="s">
        <v>760</v>
      </c>
      <c r="N309" s="1">
        <v>6</v>
      </c>
      <c r="O309" s="1">
        <v>99</v>
      </c>
      <c r="P309" s="1" t="s">
        <v>641</v>
      </c>
      <c r="S309" s="1">
        <v>5</v>
      </c>
      <c r="U309" s="1">
        <v>20507</v>
      </c>
      <c r="V309" s="1" t="s">
        <v>261</v>
      </c>
    </row>
    <row r="310" spans="1:22" ht="49.5" x14ac:dyDescent="0.15">
      <c r="A310" s="5">
        <v>14056</v>
      </c>
      <c r="B310" s="5" t="s">
        <v>761</v>
      </c>
      <c r="C310" s="1">
        <v>4</v>
      </c>
      <c r="G310" s="7" t="s">
        <v>762</v>
      </c>
      <c r="N310" s="1">
        <v>1</v>
      </c>
      <c r="O310" s="1">
        <v>8</v>
      </c>
      <c r="P310" s="1" t="s">
        <v>560</v>
      </c>
      <c r="U310" s="1">
        <v>20507</v>
      </c>
      <c r="V310" s="1" t="s">
        <v>261</v>
      </c>
    </row>
    <row r="311" spans="1:22" x14ac:dyDescent="0.15">
      <c r="A311" s="5">
        <v>14057</v>
      </c>
      <c r="B311" s="5" t="s">
        <v>763</v>
      </c>
      <c r="C311" s="1">
        <v>4</v>
      </c>
      <c r="E311" s="7" t="s">
        <v>764</v>
      </c>
      <c r="G311" s="7" t="s">
        <v>765</v>
      </c>
      <c r="N311" s="1">
        <v>6</v>
      </c>
      <c r="O311" s="1">
        <v>8</v>
      </c>
      <c r="P311" s="1" t="s">
        <v>766</v>
      </c>
      <c r="T311" s="1">
        <v>40</v>
      </c>
      <c r="U311" s="1">
        <v>20507</v>
      </c>
      <c r="V311" s="1" t="s">
        <v>261</v>
      </c>
    </row>
    <row r="312" spans="1:22" x14ac:dyDescent="0.15">
      <c r="A312" s="5">
        <v>14058</v>
      </c>
      <c r="B312" s="5" t="s">
        <v>767</v>
      </c>
      <c r="C312" s="1">
        <v>4</v>
      </c>
      <c r="G312" s="7" t="s">
        <v>768</v>
      </c>
      <c r="M312" s="7" t="s">
        <v>769</v>
      </c>
      <c r="U312" s="1">
        <v>20507</v>
      </c>
      <c r="V312" s="1" t="s">
        <v>261</v>
      </c>
    </row>
    <row r="313" spans="1:22" x14ac:dyDescent="0.15">
      <c r="A313" s="5">
        <v>14059</v>
      </c>
      <c r="B313" s="5" t="s">
        <v>770</v>
      </c>
      <c r="C313" s="1">
        <v>4</v>
      </c>
      <c r="G313" s="7" t="s">
        <v>771</v>
      </c>
      <c r="K313" s="7" t="s">
        <v>772</v>
      </c>
      <c r="U313" s="1">
        <v>20406</v>
      </c>
      <c r="V313" s="1" t="s">
        <v>648</v>
      </c>
    </row>
    <row r="314" spans="1:22" x14ac:dyDescent="0.15">
      <c r="A314" s="5">
        <v>14060</v>
      </c>
      <c r="C314" s="1">
        <v>4</v>
      </c>
      <c r="G314" s="7" t="s">
        <v>773</v>
      </c>
      <c r="U314" s="1">
        <v>20203</v>
      </c>
      <c r="V314" s="1" t="s">
        <v>125</v>
      </c>
    </row>
    <row r="315" spans="1:22" ht="33" x14ac:dyDescent="0.15">
      <c r="A315" s="5">
        <v>14061</v>
      </c>
      <c r="C315" s="1">
        <v>4</v>
      </c>
      <c r="G315" s="7" t="s">
        <v>774</v>
      </c>
      <c r="T315" s="1">
        <v>50</v>
      </c>
      <c r="U315" s="1">
        <v>20405</v>
      </c>
      <c r="V315" s="1" t="s">
        <v>292</v>
      </c>
    </row>
    <row r="316" spans="1:22" x14ac:dyDescent="0.15">
      <c r="A316" s="5">
        <v>14062</v>
      </c>
      <c r="B316" s="5" t="s">
        <v>775</v>
      </c>
      <c r="C316" s="1">
        <v>4</v>
      </c>
      <c r="G316" s="7" t="s">
        <v>776</v>
      </c>
      <c r="K316" s="7" t="s">
        <v>129</v>
      </c>
      <c r="O316" s="1">
        <v>99</v>
      </c>
      <c r="U316" s="1">
        <v>20001</v>
      </c>
      <c r="V316" s="1" t="s">
        <v>97</v>
      </c>
    </row>
    <row r="317" spans="1:22" x14ac:dyDescent="0.15">
      <c r="A317" s="5">
        <v>14063</v>
      </c>
      <c r="B317" s="5" t="s">
        <v>777</v>
      </c>
      <c r="C317" s="1">
        <v>4</v>
      </c>
      <c r="G317" s="7" t="s">
        <v>778</v>
      </c>
      <c r="I317" s="7" t="s">
        <v>779</v>
      </c>
      <c r="U317" s="1">
        <v>20001</v>
      </c>
      <c r="V317" s="1" t="s">
        <v>97</v>
      </c>
    </row>
    <row r="318" spans="1:22" x14ac:dyDescent="0.15">
      <c r="A318" s="5">
        <v>14064</v>
      </c>
      <c r="B318" s="5" t="s">
        <v>780</v>
      </c>
      <c r="C318" s="1">
        <v>4</v>
      </c>
      <c r="E318" s="7" t="s">
        <v>78</v>
      </c>
      <c r="G318" s="7" t="s">
        <v>781</v>
      </c>
      <c r="M318" s="7" t="s">
        <v>136</v>
      </c>
      <c r="O318" s="1">
        <v>99</v>
      </c>
      <c r="U318" s="1">
        <v>20001</v>
      </c>
      <c r="V318" s="1" t="s">
        <v>97</v>
      </c>
    </row>
    <row r="319" spans="1:22" x14ac:dyDescent="0.15">
      <c r="A319" s="5">
        <v>14065</v>
      </c>
      <c r="B319" s="5" t="s">
        <v>782</v>
      </c>
      <c r="C319" s="1">
        <v>4</v>
      </c>
      <c r="G319" s="7" t="s">
        <v>783</v>
      </c>
      <c r="M319" s="7" t="s">
        <v>784</v>
      </c>
      <c r="N319" s="7"/>
      <c r="U319" s="1">
        <v>20409</v>
      </c>
      <c r="V319" s="1" t="s">
        <v>311</v>
      </c>
    </row>
    <row r="320" spans="1:22" x14ac:dyDescent="0.15">
      <c r="A320" s="5">
        <v>14066</v>
      </c>
      <c r="B320" s="5" t="s">
        <v>677</v>
      </c>
      <c r="C320" s="1">
        <v>4</v>
      </c>
      <c r="E320" s="7" t="s">
        <v>785</v>
      </c>
      <c r="G320" s="7" t="s">
        <v>679</v>
      </c>
      <c r="K320" s="7" t="s">
        <v>786</v>
      </c>
      <c r="O320" s="1">
        <v>99</v>
      </c>
      <c r="P320" s="1" t="s">
        <v>676</v>
      </c>
      <c r="T320" s="1">
        <v>7500</v>
      </c>
      <c r="U320" s="1">
        <v>20001</v>
      </c>
      <c r="V320" s="1" t="s">
        <v>97</v>
      </c>
    </row>
    <row r="321" spans="1:22" x14ac:dyDescent="0.15">
      <c r="A321" s="5">
        <v>14067</v>
      </c>
      <c r="B321" s="5" t="s">
        <v>677</v>
      </c>
      <c r="C321" s="1">
        <v>4</v>
      </c>
      <c r="E321" s="7" t="s">
        <v>785</v>
      </c>
      <c r="G321" s="7" t="s">
        <v>681</v>
      </c>
      <c r="K321" s="7" t="s">
        <v>786</v>
      </c>
      <c r="O321" s="1">
        <v>99</v>
      </c>
      <c r="P321" s="1" t="s">
        <v>676</v>
      </c>
      <c r="T321" s="1">
        <v>7500</v>
      </c>
      <c r="U321" s="1">
        <v>20001</v>
      </c>
      <c r="V321" s="1" t="s">
        <v>97</v>
      </c>
    </row>
    <row r="322" spans="1:22" x14ac:dyDescent="0.15">
      <c r="A322" s="5">
        <v>14068</v>
      </c>
      <c r="B322" s="5" t="s">
        <v>682</v>
      </c>
      <c r="C322" s="1">
        <v>4</v>
      </c>
      <c r="G322" s="7" t="s">
        <v>683</v>
      </c>
      <c r="I322" s="7" t="s">
        <v>787</v>
      </c>
      <c r="O322" s="1">
        <v>99</v>
      </c>
      <c r="P322" s="1" t="s">
        <v>350</v>
      </c>
    </row>
    <row r="323" spans="1:22" x14ac:dyDescent="0.15">
      <c r="A323" s="5">
        <v>14069</v>
      </c>
      <c r="B323" s="5" t="s">
        <v>682</v>
      </c>
      <c r="C323" s="1">
        <v>4</v>
      </c>
      <c r="G323" s="7" t="s">
        <v>788</v>
      </c>
      <c r="I323" s="7" t="s">
        <v>787</v>
      </c>
      <c r="O323" s="1">
        <v>99</v>
      </c>
      <c r="P323" s="1" t="s">
        <v>350</v>
      </c>
    </row>
    <row r="324" spans="1:22" x14ac:dyDescent="0.15">
      <c r="A324" s="5">
        <v>14070</v>
      </c>
      <c r="B324" s="5" t="s">
        <v>775</v>
      </c>
      <c r="C324" s="1">
        <v>4</v>
      </c>
      <c r="G324" s="7" t="s">
        <v>789</v>
      </c>
      <c r="K324" s="7" t="s">
        <v>129</v>
      </c>
      <c r="O324" s="1">
        <v>99</v>
      </c>
      <c r="U324" s="1">
        <v>20001</v>
      </c>
      <c r="V324" s="1" t="s">
        <v>97</v>
      </c>
    </row>
    <row r="325" spans="1:22" x14ac:dyDescent="0.15">
      <c r="A325" s="5">
        <v>14071</v>
      </c>
      <c r="B325" s="5" t="s">
        <v>775</v>
      </c>
      <c r="C325" s="1">
        <v>4</v>
      </c>
      <c r="G325" s="7" t="s">
        <v>790</v>
      </c>
      <c r="K325" s="7" t="s">
        <v>129</v>
      </c>
      <c r="O325" s="1">
        <v>99</v>
      </c>
      <c r="U325" s="1">
        <v>20001</v>
      </c>
      <c r="V325" s="1" t="s">
        <v>97</v>
      </c>
    </row>
    <row r="326" spans="1:22" x14ac:dyDescent="0.15">
      <c r="A326" s="5">
        <v>14072</v>
      </c>
      <c r="B326" s="5" t="s">
        <v>791</v>
      </c>
      <c r="C326" s="1">
        <v>4</v>
      </c>
      <c r="G326" s="7" t="s">
        <v>792</v>
      </c>
      <c r="K326" s="7" t="s">
        <v>793</v>
      </c>
      <c r="U326" s="1">
        <v>20503</v>
      </c>
      <c r="V326" s="1" t="s">
        <v>298</v>
      </c>
    </row>
    <row r="327" spans="1:22" ht="33" x14ac:dyDescent="0.15">
      <c r="A327" s="5">
        <v>14073</v>
      </c>
      <c r="B327" s="5" t="s">
        <v>794</v>
      </c>
      <c r="C327" s="1">
        <v>4</v>
      </c>
      <c r="G327" s="7" t="s">
        <v>795</v>
      </c>
      <c r="P327" s="1" t="s">
        <v>796</v>
      </c>
      <c r="U327" s="1">
        <v>20406</v>
      </c>
      <c r="V327" s="1" t="s">
        <v>648</v>
      </c>
    </row>
    <row r="328" spans="1:22" x14ac:dyDescent="0.15">
      <c r="A328" s="5">
        <v>14074</v>
      </c>
      <c r="C328" s="1">
        <v>4</v>
      </c>
      <c r="E328" s="7" t="s">
        <v>797</v>
      </c>
      <c r="G328" s="7" t="s">
        <v>798</v>
      </c>
      <c r="P328" s="1" t="s">
        <v>690</v>
      </c>
      <c r="U328" s="1">
        <v>20503</v>
      </c>
      <c r="V328" s="1" t="s">
        <v>298</v>
      </c>
    </row>
    <row r="329" spans="1:22" x14ac:dyDescent="0.15">
      <c r="A329" s="5">
        <v>14075</v>
      </c>
      <c r="B329" s="5" t="s">
        <v>799</v>
      </c>
      <c r="C329" s="1">
        <v>4</v>
      </c>
      <c r="G329" s="7" t="s">
        <v>800</v>
      </c>
    </row>
    <row r="330" spans="1:22" ht="33" x14ac:dyDescent="0.15">
      <c r="A330" s="5">
        <v>14076</v>
      </c>
      <c r="B330" s="21" t="s">
        <v>801</v>
      </c>
      <c r="C330" s="1">
        <v>4</v>
      </c>
      <c r="E330" s="7" t="s">
        <v>672</v>
      </c>
      <c r="G330" s="7" t="s">
        <v>802</v>
      </c>
      <c r="I330" s="7" t="s">
        <v>803</v>
      </c>
      <c r="U330" s="1">
        <v>20203</v>
      </c>
      <c r="V330" s="1" t="s">
        <v>125</v>
      </c>
    </row>
    <row r="331" spans="1:22" x14ac:dyDescent="0.15">
      <c r="A331" s="5">
        <v>14077</v>
      </c>
      <c r="C331" s="1">
        <v>4</v>
      </c>
      <c r="G331" s="7" t="s">
        <v>804</v>
      </c>
    </row>
    <row r="332" spans="1:22" x14ac:dyDescent="0.15">
      <c r="A332" s="5">
        <v>14078</v>
      </c>
      <c r="C332" s="1">
        <v>4</v>
      </c>
      <c r="G332" s="7" t="s">
        <v>805</v>
      </c>
      <c r="K332" s="7" t="s">
        <v>80</v>
      </c>
    </row>
    <row r="333" spans="1:22" ht="33" x14ac:dyDescent="0.15">
      <c r="A333" s="5">
        <v>14079</v>
      </c>
      <c r="B333" s="5" t="s">
        <v>806</v>
      </c>
      <c r="C333" s="1">
        <v>4</v>
      </c>
      <c r="G333" s="7" t="s">
        <v>807</v>
      </c>
      <c r="K333" s="7" t="s">
        <v>808</v>
      </c>
      <c r="V333" s="1" t="s">
        <v>73</v>
      </c>
    </row>
    <row r="334" spans="1:22" x14ac:dyDescent="0.15">
      <c r="A334" s="5">
        <v>14080</v>
      </c>
      <c r="C334" s="1">
        <v>4</v>
      </c>
      <c r="G334" s="7" t="s">
        <v>809</v>
      </c>
      <c r="U334" s="1">
        <v>20705</v>
      </c>
      <c r="V334" s="1" t="s">
        <v>810</v>
      </c>
    </row>
    <row r="335" spans="1:22" x14ac:dyDescent="0.15">
      <c r="A335" s="5">
        <v>14081</v>
      </c>
      <c r="C335" s="1">
        <v>4</v>
      </c>
      <c r="G335" s="7" t="s">
        <v>811</v>
      </c>
      <c r="M335" s="7" t="s">
        <v>812</v>
      </c>
      <c r="U335" s="1">
        <v>20705</v>
      </c>
      <c r="V335" s="1" t="s">
        <v>810</v>
      </c>
    </row>
    <row r="336" spans="1:22" ht="33" x14ac:dyDescent="0.15">
      <c r="A336" s="5">
        <v>14082</v>
      </c>
      <c r="C336" s="1">
        <v>4</v>
      </c>
      <c r="G336" s="7" t="s">
        <v>813</v>
      </c>
      <c r="M336" s="7" t="s">
        <v>814</v>
      </c>
      <c r="U336" s="1">
        <v>20705</v>
      </c>
      <c r="V336" s="1" t="s">
        <v>810</v>
      </c>
    </row>
    <row r="337" spans="1:20" x14ac:dyDescent="0.15">
      <c r="A337" s="5">
        <v>14083</v>
      </c>
      <c r="C337" s="1">
        <v>4</v>
      </c>
      <c r="E337" s="7" t="s">
        <v>815</v>
      </c>
      <c r="G337" s="7" t="s">
        <v>816</v>
      </c>
      <c r="K337" s="7" t="s">
        <v>817</v>
      </c>
      <c r="P337" s="1" t="s">
        <v>204</v>
      </c>
      <c r="T337" s="1">
        <v>20</v>
      </c>
    </row>
    <row r="338" spans="1:20" x14ac:dyDescent="0.15">
      <c r="A338" s="5">
        <v>14084</v>
      </c>
      <c r="B338" s="5" t="s">
        <v>818</v>
      </c>
      <c r="C338" s="1">
        <v>4</v>
      </c>
      <c r="E338" s="7" t="s">
        <v>819</v>
      </c>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N4" sqref="N4"/>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69</v>
      </c>
      <c r="C1" t="s">
        <v>820</v>
      </c>
      <c r="E1" t="s">
        <v>821</v>
      </c>
    </row>
    <row r="2" spans="1:20" x14ac:dyDescent="0.15">
      <c r="A2" t="s">
        <v>822</v>
      </c>
      <c r="C2" t="s">
        <v>174</v>
      </c>
      <c r="D2">
        <f>COUNTIF(Skill!U:U,20701)</f>
        <v>8</v>
      </c>
      <c r="E2" s="12" t="s">
        <v>823</v>
      </c>
      <c r="F2">
        <f>COUNTIF(Skill!U:U,20702)</f>
        <v>4</v>
      </c>
      <c r="G2" t="s">
        <v>824</v>
      </c>
      <c r="H2">
        <f>COUNTIF(Skill!U:U,20402)</f>
        <v>6</v>
      </c>
      <c r="I2" t="s">
        <v>825</v>
      </c>
      <c r="J2">
        <f>COUNTIF(Skill!U:U,20307)</f>
        <v>4</v>
      </c>
      <c r="K2" t="s">
        <v>810</v>
      </c>
      <c r="L2">
        <f>COUNTIF(Skill!U:U,20705)</f>
        <v>3</v>
      </c>
      <c r="R2" s="17"/>
      <c r="S2" s="17"/>
    </row>
    <row r="3" spans="1:20" x14ac:dyDescent="0.15">
      <c r="A3" t="s">
        <v>826</v>
      </c>
      <c r="C3" t="s">
        <v>382</v>
      </c>
      <c r="D3">
        <f>COUNTIF(Skill!U:U,20601)</f>
        <v>1</v>
      </c>
      <c r="E3" t="s">
        <v>613</v>
      </c>
      <c r="F3">
        <f>COUNTIF(Skill!U:U,20602)</f>
        <v>3</v>
      </c>
      <c r="G3" t="s">
        <v>711</v>
      </c>
      <c r="H3">
        <f>COUNTIF(Skill!U:U,20603)</f>
        <v>2</v>
      </c>
      <c r="I3" s="15" t="s">
        <v>827</v>
      </c>
      <c r="R3" s="17"/>
      <c r="S3" s="17"/>
    </row>
    <row r="4" spans="1:20" x14ac:dyDescent="0.15">
      <c r="A4" t="s">
        <v>828</v>
      </c>
      <c r="C4" t="s">
        <v>288</v>
      </c>
      <c r="D4">
        <f>COUNTIF(Skill!U:U,20501)</f>
        <v>1</v>
      </c>
      <c r="E4" t="s">
        <v>176</v>
      </c>
      <c r="F4">
        <f>COUNTIF(Skill!U:U,20502)</f>
        <v>14</v>
      </c>
      <c r="G4" t="s">
        <v>298</v>
      </c>
      <c r="H4">
        <f>COUNTIF(Skill!U:U,20503)</f>
        <v>5</v>
      </c>
      <c r="I4" s="16" t="s">
        <v>829</v>
      </c>
      <c r="J4">
        <f>COUNTIF(Skill!U:U,20504)</f>
        <v>2</v>
      </c>
      <c r="K4" t="s">
        <v>211</v>
      </c>
      <c r="L4">
        <f>COUNTIF(Skill!U:U,20505)</f>
        <v>6</v>
      </c>
      <c r="M4" t="s">
        <v>394</v>
      </c>
      <c r="N4">
        <f>COUNTIF(Skill!U:U,20506)</f>
        <v>2</v>
      </c>
      <c r="O4" t="s">
        <v>261</v>
      </c>
      <c r="P4">
        <f>COUNTIF(Skill!U:U,20507)</f>
        <v>20</v>
      </c>
      <c r="Q4" s="15" t="s">
        <v>830</v>
      </c>
      <c r="R4">
        <f>COUNTIF(Skill!U:U,20508)</f>
        <v>3</v>
      </c>
      <c r="S4" s="17"/>
    </row>
    <row r="5" spans="1:20" x14ac:dyDescent="0.15">
      <c r="A5" t="s">
        <v>831</v>
      </c>
      <c r="C5" t="s">
        <v>172</v>
      </c>
      <c r="D5">
        <f>COUNTIF(Skill!U:U,20401)</f>
        <v>6</v>
      </c>
      <c r="E5" s="13"/>
      <c r="F5" s="13"/>
      <c r="G5" t="s">
        <v>128</v>
      </c>
      <c r="H5">
        <f>COUNTIF(Skill!U:U,20403)</f>
        <v>2</v>
      </c>
      <c r="I5" t="s">
        <v>64</v>
      </c>
      <c r="J5">
        <f>COUNTIF(Skill!U:U,20404)</f>
        <v>6</v>
      </c>
      <c r="K5" t="s">
        <v>292</v>
      </c>
      <c r="L5">
        <f>COUNTIF(Skill!U:U,20405)</f>
        <v>2</v>
      </c>
      <c r="M5" t="s">
        <v>648</v>
      </c>
      <c r="N5">
        <f>COUNTIF(Skill!U:U,20406)</f>
        <v>3</v>
      </c>
      <c r="O5" t="s">
        <v>604</v>
      </c>
      <c r="P5">
        <f>COUNTIF(Skill!U:U,20407)</f>
        <v>3</v>
      </c>
      <c r="Q5" t="s">
        <v>832</v>
      </c>
      <c r="R5">
        <f>COUNTIF(Skill!U:U,20408)</f>
        <v>0</v>
      </c>
      <c r="S5" t="s">
        <v>311</v>
      </c>
      <c r="T5">
        <f>COUNTIF(Skill!U:U,20409)</f>
        <v>2</v>
      </c>
    </row>
    <row r="6" spans="1:20" x14ac:dyDescent="0.15">
      <c r="A6" t="s">
        <v>833</v>
      </c>
      <c r="C6" t="s">
        <v>56</v>
      </c>
      <c r="D6">
        <f>COUNTIF(Skill!U:U,20301)</f>
        <v>10</v>
      </c>
      <c r="E6" t="s">
        <v>243</v>
      </c>
      <c r="F6">
        <f>COUNTIF(Skill!U:U,20302)</f>
        <v>8</v>
      </c>
      <c r="G6" t="s">
        <v>73</v>
      </c>
      <c r="H6">
        <f>COUNTIF(Skill!U:U,20303)</f>
        <v>8</v>
      </c>
      <c r="I6" t="s">
        <v>244</v>
      </c>
      <c r="J6">
        <f>COUNTIF(Skill!U:U,20304)</f>
        <v>4</v>
      </c>
      <c r="K6" t="s">
        <v>76</v>
      </c>
      <c r="L6">
        <f>COUNTIF(Skill!U:U,20305)</f>
        <v>7</v>
      </c>
      <c r="M6" t="s">
        <v>834</v>
      </c>
      <c r="N6">
        <f>COUNTIF(Skill!U:U,20306)</f>
        <v>7</v>
      </c>
      <c r="O6" s="13"/>
      <c r="P6" s="13"/>
      <c r="R6" s="17"/>
      <c r="S6" s="17"/>
    </row>
    <row r="7" spans="1:20" x14ac:dyDescent="0.15">
      <c r="A7" t="s">
        <v>835</v>
      </c>
      <c r="C7" s="12" t="s">
        <v>61</v>
      </c>
      <c r="D7">
        <f>COUNTIF(Skill!U:U,20201)</f>
        <v>18</v>
      </c>
      <c r="E7" t="s">
        <v>50</v>
      </c>
      <c r="F7">
        <f>COUNTIF(Skill!U:U,20202)</f>
        <v>12</v>
      </c>
      <c r="G7" t="s">
        <v>836</v>
      </c>
      <c r="H7">
        <f>COUNTIF(Skill!U:U,20203)</f>
        <v>8</v>
      </c>
      <c r="I7" t="s">
        <v>145</v>
      </c>
      <c r="J7">
        <f>COUNTIF(Skill!U:U,20204)</f>
        <v>5</v>
      </c>
      <c r="K7" t="s">
        <v>837</v>
      </c>
      <c r="L7">
        <f>COUNTIF(Skill!U:U,20205)</f>
        <v>11</v>
      </c>
      <c r="R7" s="17"/>
      <c r="S7" s="17"/>
    </row>
    <row r="8" spans="1:20" x14ac:dyDescent="0.15">
      <c r="A8" t="s">
        <v>838</v>
      </c>
      <c r="C8" s="12" t="s">
        <v>68</v>
      </c>
      <c r="D8">
        <f>COUNTIF(Skill!U:U,20101)</f>
        <v>18</v>
      </c>
      <c r="R8" s="17"/>
      <c r="S8" s="17"/>
    </row>
    <row r="9" spans="1:20" x14ac:dyDescent="0.15">
      <c r="C9" t="s">
        <v>97</v>
      </c>
      <c r="D9">
        <f>COUNTIF(Skill!U:U,20001)</f>
        <v>80</v>
      </c>
    </row>
    <row r="13" spans="1:20" x14ac:dyDescent="0.15">
      <c r="G13" t="s">
        <v>839</v>
      </c>
      <c r="H13" s="22" t="s">
        <v>840</v>
      </c>
      <c r="I13" s="22"/>
      <c r="J13" s="22" t="s">
        <v>234</v>
      </c>
      <c r="K13" s="22"/>
      <c r="L13" s="22" t="s">
        <v>841</v>
      </c>
      <c r="M13" s="22"/>
      <c r="Q13" t="s">
        <v>842</v>
      </c>
      <c r="R13" t="s">
        <v>843</v>
      </c>
    </row>
    <row r="14" spans="1:20" x14ac:dyDescent="0.15">
      <c r="G14" t="s">
        <v>826</v>
      </c>
      <c r="H14" s="22">
        <v>125</v>
      </c>
      <c r="I14" s="22"/>
      <c r="J14" s="22">
        <v>145</v>
      </c>
      <c r="K14" s="22"/>
      <c r="L14" s="22">
        <v>165</v>
      </c>
      <c r="M14" s="22"/>
      <c r="Q14" t="s">
        <v>844</v>
      </c>
      <c r="R14" t="s">
        <v>144</v>
      </c>
    </row>
    <row r="15" spans="1:20" x14ac:dyDescent="0.15">
      <c r="G15" t="s">
        <v>828</v>
      </c>
      <c r="H15" s="22">
        <v>120</v>
      </c>
      <c r="I15" s="22"/>
      <c r="J15" s="22">
        <v>140</v>
      </c>
      <c r="K15" s="22"/>
      <c r="L15" s="22">
        <v>160</v>
      </c>
      <c r="M15" s="22"/>
      <c r="Q15" t="s">
        <v>845</v>
      </c>
      <c r="R15" t="s">
        <v>371</v>
      </c>
    </row>
    <row r="16" spans="1:20" x14ac:dyDescent="0.15">
      <c r="G16" t="s">
        <v>831</v>
      </c>
      <c r="H16" s="22">
        <v>115</v>
      </c>
      <c r="I16" s="22"/>
      <c r="J16" s="22">
        <v>135</v>
      </c>
      <c r="K16" s="22"/>
      <c r="L16" s="22">
        <v>155</v>
      </c>
      <c r="M16" s="22"/>
      <c r="Q16" t="s">
        <v>846</v>
      </c>
      <c r="R16" t="s">
        <v>306</v>
      </c>
    </row>
    <row r="17" spans="7:15" x14ac:dyDescent="0.15">
      <c r="G17" t="s">
        <v>833</v>
      </c>
      <c r="H17" s="22">
        <v>110</v>
      </c>
      <c r="I17" s="22"/>
      <c r="J17" s="22">
        <v>130</v>
      </c>
      <c r="K17" s="22"/>
      <c r="L17" s="22">
        <v>150</v>
      </c>
      <c r="M17" s="22"/>
    </row>
    <row r="18" spans="7:15" x14ac:dyDescent="0.15">
      <c r="G18" t="s">
        <v>835</v>
      </c>
      <c r="H18" s="22">
        <v>105</v>
      </c>
      <c r="I18" s="22"/>
      <c r="J18" s="22">
        <v>125</v>
      </c>
      <c r="K18" s="22"/>
      <c r="L18" s="22">
        <v>145</v>
      </c>
      <c r="M18" s="22"/>
    </row>
    <row r="19" spans="7:15" x14ac:dyDescent="0.15">
      <c r="G19" t="s">
        <v>838</v>
      </c>
      <c r="H19" s="22">
        <v>100</v>
      </c>
      <c r="I19" s="22"/>
      <c r="J19" s="22">
        <v>120</v>
      </c>
      <c r="K19" s="22"/>
      <c r="L19" s="22">
        <v>140</v>
      </c>
      <c r="M19" s="22"/>
      <c r="O19" s="14"/>
    </row>
    <row r="20" spans="7:15" x14ac:dyDescent="0.15">
      <c r="O20" s="14"/>
    </row>
    <row r="21" spans="7:15" x14ac:dyDescent="0.15">
      <c r="G21" t="s">
        <v>847</v>
      </c>
      <c r="H21" s="22" t="s">
        <v>848</v>
      </c>
      <c r="I21" s="22"/>
      <c r="J21" s="22" t="s">
        <v>849</v>
      </c>
      <c r="K21" s="22"/>
      <c r="L21" s="22" t="s">
        <v>850</v>
      </c>
      <c r="M21" s="23"/>
      <c r="O21" s="14"/>
    </row>
    <row r="22" spans="7:15" x14ac:dyDescent="0.15">
      <c r="O22" s="14"/>
    </row>
    <row r="23" spans="7:15" x14ac:dyDescent="0.15">
      <c r="O23" s="14"/>
    </row>
    <row r="24" spans="7:15" x14ac:dyDescent="0.15">
      <c r="O24" s="14"/>
    </row>
  </sheetData>
  <mergeCells count="24">
    <mergeCell ref="H19:I19"/>
    <mergeCell ref="J19:K19"/>
    <mergeCell ref="L19:M19"/>
    <mergeCell ref="H21:I21"/>
    <mergeCell ref="J21:K21"/>
    <mergeCell ref="L21:M21"/>
    <mergeCell ref="H17:I17"/>
    <mergeCell ref="J17:K17"/>
    <mergeCell ref="L17:M17"/>
    <mergeCell ref="H18:I18"/>
    <mergeCell ref="J18:K18"/>
    <mergeCell ref="L18:M18"/>
    <mergeCell ref="H15:I15"/>
    <mergeCell ref="J15:K15"/>
    <mergeCell ref="L15:M15"/>
    <mergeCell ref="H16:I16"/>
    <mergeCell ref="J16:K16"/>
    <mergeCell ref="L16:M16"/>
    <mergeCell ref="H13:I13"/>
    <mergeCell ref="J13:K13"/>
    <mergeCell ref="L13:M13"/>
    <mergeCell ref="H14:I14"/>
    <mergeCell ref="J14:K14"/>
    <mergeCell ref="L14:M14"/>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N2" sqref="N2"/>
    </sheetView>
  </sheetViews>
  <sheetFormatPr defaultColWidth="8.875" defaultRowHeight="13.5" x14ac:dyDescent="0.15"/>
  <cols>
    <col min="2" max="2" width="26.5" customWidth="1"/>
    <col min="5" max="5" width="30.5" customWidth="1"/>
    <col min="7" max="7" width="33.625" customWidth="1"/>
    <col min="9" max="9" width="17.75" customWidth="1"/>
    <col min="11" max="11" width="22.875" customWidth="1"/>
  </cols>
  <sheetData>
    <row r="3" spans="1:16" x14ac:dyDescent="0.15">
      <c r="B3" t="s">
        <v>851</v>
      </c>
      <c r="C3" t="s">
        <v>852</v>
      </c>
      <c r="D3" t="s">
        <v>853</v>
      </c>
      <c r="H3" t="s">
        <v>835</v>
      </c>
      <c r="I3" t="s">
        <v>833</v>
      </c>
      <c r="J3" t="s">
        <v>831</v>
      </c>
      <c r="K3" t="s">
        <v>828</v>
      </c>
      <c r="L3" t="s">
        <v>826</v>
      </c>
      <c r="M3" t="s">
        <v>822</v>
      </c>
    </row>
    <row r="4" spans="1:16" x14ac:dyDescent="0.15">
      <c r="A4">
        <v>1</v>
      </c>
      <c r="B4" t="s">
        <v>854</v>
      </c>
      <c r="C4" t="s">
        <v>855</v>
      </c>
      <c r="D4" t="s">
        <v>856</v>
      </c>
    </row>
    <row r="5" spans="1:16" x14ac:dyDescent="0.15">
      <c r="A5">
        <v>2</v>
      </c>
      <c r="B5" t="s">
        <v>857</v>
      </c>
      <c r="C5" t="s">
        <v>234</v>
      </c>
      <c r="D5" t="s">
        <v>858</v>
      </c>
    </row>
    <row r="6" spans="1:16" x14ac:dyDescent="0.15">
      <c r="A6">
        <v>3</v>
      </c>
      <c r="B6" t="s">
        <v>859</v>
      </c>
      <c r="C6" t="s">
        <v>234</v>
      </c>
      <c r="D6" t="s">
        <v>860</v>
      </c>
    </row>
    <row r="7" spans="1:16" x14ac:dyDescent="0.15">
      <c r="A7">
        <v>4</v>
      </c>
      <c r="B7" t="s">
        <v>861</v>
      </c>
      <c r="C7" t="s">
        <v>855</v>
      </c>
      <c r="D7" t="s">
        <v>862</v>
      </c>
    </row>
    <row r="8" spans="1:16" x14ac:dyDescent="0.15">
      <c r="A8">
        <v>5</v>
      </c>
      <c r="B8" t="s">
        <v>863</v>
      </c>
      <c r="C8" t="s">
        <v>855</v>
      </c>
      <c r="D8" t="s">
        <v>864</v>
      </c>
    </row>
    <row r="9" spans="1:16" x14ac:dyDescent="0.15">
      <c r="A9">
        <v>6</v>
      </c>
      <c r="B9" t="s">
        <v>865</v>
      </c>
      <c r="C9" t="s">
        <v>855</v>
      </c>
      <c r="D9" t="s">
        <v>866</v>
      </c>
    </row>
    <row r="10" spans="1:16" x14ac:dyDescent="0.15">
      <c r="A10">
        <v>7</v>
      </c>
      <c r="B10" t="s">
        <v>867</v>
      </c>
      <c r="C10" t="s">
        <v>855</v>
      </c>
      <c r="D10" t="s">
        <v>868</v>
      </c>
    </row>
    <row r="14" spans="1:16" x14ac:dyDescent="0.15">
      <c r="E14" s="10"/>
      <c r="F14" s="10"/>
      <c r="J14" s="10"/>
      <c r="K14" s="10"/>
      <c r="L14" s="10"/>
      <c r="P14" s="11"/>
    </row>
    <row r="15" spans="1:16" x14ac:dyDescent="0.15">
      <c r="E15" s="10"/>
      <c r="F15" s="10"/>
      <c r="J15" s="10"/>
      <c r="K15" s="10"/>
      <c r="L15" s="10"/>
      <c r="P15" s="11"/>
    </row>
    <row r="16" spans="1:16" x14ac:dyDescent="0.15">
      <c r="F16" s="10"/>
      <c r="G16" s="10"/>
      <c r="H16" s="10"/>
      <c r="I16" s="10"/>
      <c r="J16" s="10"/>
      <c r="L16" s="10"/>
      <c r="P16" s="11"/>
    </row>
    <row r="17" spans="5:16" x14ac:dyDescent="0.15">
      <c r="E17" s="10"/>
      <c r="F17" s="10"/>
      <c r="G17" s="10"/>
      <c r="J17" s="10"/>
      <c r="K17" s="10"/>
      <c r="L17" s="10"/>
      <c r="P17" s="11"/>
    </row>
    <row r="18" spans="5:16" x14ac:dyDescent="0.15">
      <c r="E18" s="10"/>
      <c r="F18" s="10"/>
      <c r="G18" s="10"/>
      <c r="J18" s="10"/>
      <c r="K18" s="10"/>
      <c r="L18" s="10"/>
      <c r="P18" s="11"/>
    </row>
    <row r="19" spans="5:16" x14ac:dyDescent="0.15">
      <c r="E19" s="10"/>
      <c r="F19" s="10"/>
      <c r="G19" s="10"/>
      <c r="H19" s="10"/>
      <c r="I19" s="10"/>
      <c r="J19" s="10"/>
      <c r="K19" s="10"/>
      <c r="L19" s="10"/>
      <c r="P19" s="11"/>
    </row>
    <row r="20" spans="5:16" x14ac:dyDescent="0.15">
      <c r="E20" s="10"/>
      <c r="F20" s="10"/>
      <c r="H20" s="10"/>
      <c r="I20" s="10"/>
      <c r="J20" s="10"/>
      <c r="K20" s="10"/>
      <c r="L20" s="10"/>
      <c r="P20" s="11"/>
    </row>
    <row r="21" spans="5:16" x14ac:dyDescent="0.15">
      <c r="E21" s="10"/>
      <c r="F21" s="10"/>
      <c r="G21" s="10"/>
      <c r="H21" s="10"/>
      <c r="I21" s="10"/>
      <c r="J21" s="10"/>
      <c r="K21" s="10"/>
      <c r="L21" s="10"/>
      <c r="P21" s="11"/>
    </row>
    <row r="22" spans="5:16" x14ac:dyDescent="0.15">
      <c r="E22" s="10"/>
      <c r="F22" s="10"/>
      <c r="G22" s="10"/>
      <c r="H22" s="10"/>
      <c r="I22" s="10"/>
      <c r="J22" s="10"/>
      <c r="K22" s="10"/>
      <c r="L22" s="10"/>
      <c r="P22" s="11"/>
    </row>
    <row r="23" spans="5:16" x14ac:dyDescent="0.15">
      <c r="E23" s="10"/>
      <c r="F23" s="10"/>
      <c r="G23" s="10"/>
      <c r="H23" s="10"/>
      <c r="I23" s="10"/>
      <c r="J23" s="10"/>
      <c r="K23" s="10"/>
      <c r="L23" s="10"/>
      <c r="P23" s="11"/>
    </row>
    <row r="24" spans="5:16" x14ac:dyDescent="0.15">
      <c r="E24" s="10"/>
      <c r="F24" s="10"/>
      <c r="G24" s="10"/>
      <c r="H24" s="10"/>
      <c r="I24" s="10"/>
      <c r="J24" s="10"/>
      <c r="K24" s="10"/>
      <c r="L24" s="10"/>
      <c r="P24" s="11"/>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 zoomScale="75" zoomScaleNormal="75" workbookViewId="0">
      <selection activeCell="B15" sqref="B15:S15"/>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8" t="s">
        <v>9</v>
      </c>
      <c r="R1" s="2" t="s">
        <v>10</v>
      </c>
      <c r="S1" s="2" t="s">
        <v>11</v>
      </c>
      <c r="T1" s="3" t="s">
        <v>12</v>
      </c>
      <c r="U1" s="2" t="s">
        <v>13</v>
      </c>
      <c r="V1" s="2"/>
      <c r="W1" s="3" t="s">
        <v>14</v>
      </c>
      <c r="X1" s="2" t="s">
        <v>869</v>
      </c>
      <c r="Y1" s="3" t="s">
        <v>16</v>
      </c>
      <c r="Z1" s="2" t="s">
        <v>17</v>
      </c>
      <c r="AA1" s="3"/>
      <c r="AB1" s="2"/>
    </row>
    <row r="2" spans="1:28" x14ac:dyDescent="0.15">
      <c r="A2" s="2" t="s">
        <v>19</v>
      </c>
      <c r="B2" s="2" t="s">
        <v>20</v>
      </c>
      <c r="C2" s="2" t="s">
        <v>21</v>
      </c>
      <c r="D2" s="4" t="s">
        <v>22</v>
      </c>
      <c r="E2" s="3" t="s">
        <v>870</v>
      </c>
      <c r="F2" s="3" t="s">
        <v>24</v>
      </c>
      <c r="G2" s="3" t="s">
        <v>871</v>
      </c>
      <c r="H2" s="3" t="s">
        <v>26</v>
      </c>
      <c r="I2" s="3" t="s">
        <v>872</v>
      </c>
      <c r="J2" s="3" t="s">
        <v>28</v>
      </c>
      <c r="K2" s="3" t="s">
        <v>873</v>
      </c>
      <c r="L2" s="3" t="s">
        <v>30</v>
      </c>
      <c r="M2" s="3" t="s">
        <v>31</v>
      </c>
      <c r="N2" s="2" t="s">
        <v>32</v>
      </c>
      <c r="O2" s="2"/>
      <c r="P2" s="2" t="s">
        <v>33</v>
      </c>
      <c r="Q2" s="8" t="s">
        <v>34</v>
      </c>
      <c r="R2" s="2" t="s">
        <v>35</v>
      </c>
      <c r="S2" s="2" t="s">
        <v>36</v>
      </c>
      <c r="T2" s="2" t="s">
        <v>37</v>
      </c>
      <c r="U2" s="2" t="s">
        <v>38</v>
      </c>
      <c r="V2" s="2" t="s">
        <v>39</v>
      </c>
      <c r="W2" s="3"/>
      <c r="X2" s="2"/>
      <c r="Y2" s="3" t="s">
        <v>40</v>
      </c>
      <c r="Z2" s="2" t="s">
        <v>41</v>
      </c>
      <c r="AA2" s="3"/>
      <c r="AB2" s="2"/>
    </row>
    <row r="3" spans="1:28" x14ac:dyDescent="0.15">
      <c r="A3" s="2" t="s">
        <v>42</v>
      </c>
      <c r="B3" s="2"/>
      <c r="C3" s="2" t="s">
        <v>42</v>
      </c>
      <c r="D3" s="3" t="s">
        <v>43</v>
      </c>
      <c r="E3" s="2"/>
      <c r="F3" s="3" t="s">
        <v>43</v>
      </c>
      <c r="G3" s="2"/>
      <c r="H3" s="3" t="s">
        <v>43</v>
      </c>
      <c r="I3" s="2"/>
      <c r="J3" s="3" t="s">
        <v>43</v>
      </c>
      <c r="K3" s="3"/>
      <c r="L3" s="3" t="s">
        <v>43</v>
      </c>
      <c r="M3" s="3"/>
      <c r="N3" s="2" t="s">
        <v>42</v>
      </c>
      <c r="O3" s="2" t="s">
        <v>42</v>
      </c>
      <c r="P3" s="2"/>
      <c r="Q3" s="8" t="s">
        <v>43</v>
      </c>
      <c r="R3" s="2" t="s">
        <v>42</v>
      </c>
      <c r="S3" s="2" t="s">
        <v>42</v>
      </c>
      <c r="T3" s="2" t="s">
        <v>42</v>
      </c>
      <c r="U3" s="2" t="s">
        <v>43</v>
      </c>
      <c r="V3" s="2"/>
      <c r="W3" s="3"/>
      <c r="X3" s="2"/>
      <c r="Y3" s="3"/>
      <c r="Z3" s="2"/>
      <c r="AA3" s="3"/>
      <c r="AB3" s="2"/>
    </row>
    <row r="4" spans="1:28" ht="49.5" x14ac:dyDescent="0.15">
      <c r="A4" s="5">
        <v>11001</v>
      </c>
      <c r="B4" s="6" t="s">
        <v>44</v>
      </c>
      <c r="C4" s="1">
        <v>1</v>
      </c>
      <c r="E4" s="7" t="s">
        <v>45</v>
      </c>
      <c r="F4" s="7"/>
      <c r="G4" s="7"/>
      <c r="H4" s="7"/>
      <c r="I4" s="7" t="s">
        <v>46</v>
      </c>
      <c r="J4" s="7"/>
      <c r="K4" s="7" t="s">
        <v>47</v>
      </c>
      <c r="L4" s="7"/>
      <c r="M4" s="7"/>
      <c r="N4" s="1">
        <v>1</v>
      </c>
      <c r="O4" s="1">
        <v>3</v>
      </c>
      <c r="P4" s="1" t="s">
        <v>48</v>
      </c>
      <c r="Q4" s="9" t="s">
        <v>49</v>
      </c>
      <c r="R4" s="1">
        <v>1</v>
      </c>
      <c r="U4" s="1">
        <v>20202</v>
      </c>
      <c r="V4" s="1" t="s">
        <v>50</v>
      </c>
      <c r="Z4" s="1">
        <v>1</v>
      </c>
    </row>
    <row r="5" spans="1:28" ht="33" x14ac:dyDescent="0.15">
      <c r="A5" s="5">
        <v>13009</v>
      </c>
      <c r="B5" s="6" t="s">
        <v>345</v>
      </c>
      <c r="C5" s="1">
        <v>3</v>
      </c>
      <c r="E5" s="7"/>
      <c r="F5" s="7"/>
      <c r="G5" s="1" t="s">
        <v>321</v>
      </c>
      <c r="J5" s="7"/>
      <c r="K5" s="7" t="s">
        <v>218</v>
      </c>
      <c r="L5" s="7"/>
      <c r="M5" s="7"/>
      <c r="N5" s="1">
        <v>1</v>
      </c>
      <c r="O5" s="1">
        <v>4</v>
      </c>
      <c r="P5" s="1" t="s">
        <v>346</v>
      </c>
      <c r="Q5" s="9" t="s">
        <v>347</v>
      </c>
      <c r="R5" s="1">
        <v>1</v>
      </c>
      <c r="S5" s="1">
        <v>30</v>
      </c>
      <c r="U5" s="1">
        <v>20202</v>
      </c>
      <c r="V5" s="1" t="s">
        <v>50</v>
      </c>
      <c r="Z5" s="1">
        <v>1</v>
      </c>
    </row>
    <row r="6" spans="1:28" ht="33" x14ac:dyDescent="0.15">
      <c r="A6" s="5">
        <v>13010</v>
      </c>
      <c r="B6" s="6" t="s">
        <v>348</v>
      </c>
      <c r="C6" s="1">
        <v>3</v>
      </c>
      <c r="E6" s="7"/>
      <c r="F6" s="7"/>
      <c r="G6" s="1" t="s">
        <v>321</v>
      </c>
      <c r="J6" s="7"/>
      <c r="K6" s="7" t="s">
        <v>349</v>
      </c>
      <c r="L6" s="7"/>
      <c r="M6" s="7"/>
      <c r="N6" s="1">
        <v>1</v>
      </c>
      <c r="O6" s="1">
        <v>5</v>
      </c>
      <c r="P6" s="1" t="s">
        <v>350</v>
      </c>
      <c r="Q6" s="9" t="s">
        <v>351</v>
      </c>
      <c r="R6" s="1">
        <v>1</v>
      </c>
      <c r="S6" s="1">
        <v>20</v>
      </c>
      <c r="U6" s="1">
        <v>20202</v>
      </c>
      <c r="V6" s="1" t="s">
        <v>50</v>
      </c>
      <c r="Z6" s="1">
        <v>1</v>
      </c>
    </row>
    <row r="7" spans="1:28" x14ac:dyDescent="0.15">
      <c r="A7" s="5">
        <v>13029</v>
      </c>
      <c r="B7" s="6" t="s">
        <v>405</v>
      </c>
      <c r="C7" s="1">
        <v>3</v>
      </c>
      <c r="E7" s="7"/>
      <c r="F7" s="7"/>
      <c r="G7" s="1" t="s">
        <v>406</v>
      </c>
      <c r="J7" s="7"/>
      <c r="K7" s="7" t="s">
        <v>242</v>
      </c>
      <c r="L7" s="7"/>
      <c r="M7" s="7"/>
      <c r="O7" s="1">
        <v>3</v>
      </c>
      <c r="P7" s="1" t="s">
        <v>407</v>
      </c>
      <c r="Q7" s="9"/>
      <c r="S7" s="1">
        <v>30</v>
      </c>
      <c r="U7" s="1">
        <v>20202</v>
      </c>
      <c r="V7" s="1" t="s">
        <v>50</v>
      </c>
      <c r="Z7" s="1">
        <v>1</v>
      </c>
    </row>
    <row r="8" spans="1:28" x14ac:dyDescent="0.15">
      <c r="A8" s="5">
        <v>13030</v>
      </c>
      <c r="B8" s="6" t="s">
        <v>408</v>
      </c>
      <c r="C8" s="1">
        <v>3</v>
      </c>
      <c r="E8" s="7"/>
      <c r="F8" s="7"/>
      <c r="G8" s="7" t="s">
        <v>409</v>
      </c>
      <c r="H8" s="7"/>
      <c r="I8" s="7"/>
      <c r="J8" s="7"/>
      <c r="K8" s="7" t="s">
        <v>266</v>
      </c>
      <c r="L8" s="7"/>
      <c r="M8" s="7"/>
      <c r="O8" s="1">
        <v>3</v>
      </c>
      <c r="P8" s="1" t="s">
        <v>228</v>
      </c>
      <c r="Q8" s="9"/>
      <c r="S8" s="1">
        <v>40</v>
      </c>
      <c r="U8" s="1">
        <v>20202</v>
      </c>
      <c r="V8" s="1" t="s">
        <v>50</v>
      </c>
      <c r="Z8" s="1">
        <v>1</v>
      </c>
    </row>
    <row r="9" spans="1:28" x14ac:dyDescent="0.15">
      <c r="A9" s="5">
        <v>13031</v>
      </c>
      <c r="B9" s="6" t="s">
        <v>410</v>
      </c>
      <c r="C9" s="1">
        <v>3</v>
      </c>
      <c r="E9" s="7" t="s">
        <v>411</v>
      </c>
      <c r="F9" s="7"/>
      <c r="G9" s="7" t="s">
        <v>326</v>
      </c>
      <c r="H9" s="7"/>
      <c r="I9" s="7"/>
      <c r="J9" s="7"/>
      <c r="K9" s="7" t="s">
        <v>412</v>
      </c>
      <c r="L9" s="7"/>
      <c r="M9" s="7" t="s">
        <v>69</v>
      </c>
      <c r="P9" s="1" t="s">
        <v>413</v>
      </c>
      <c r="Q9" s="9"/>
      <c r="S9" s="1">
        <v>50</v>
      </c>
      <c r="U9" s="1">
        <v>20202</v>
      </c>
      <c r="V9" s="1" t="s">
        <v>50</v>
      </c>
      <c r="Z9" s="1">
        <v>1</v>
      </c>
    </row>
    <row r="10" spans="1:28" x14ac:dyDescent="0.15">
      <c r="A10" s="5">
        <v>13032</v>
      </c>
      <c r="B10" s="6" t="s">
        <v>414</v>
      </c>
      <c r="C10" s="1">
        <v>3</v>
      </c>
      <c r="E10" s="7" t="s">
        <v>366</v>
      </c>
      <c r="F10" s="7"/>
      <c r="G10" s="1" t="s">
        <v>415</v>
      </c>
      <c r="J10" s="7"/>
      <c r="K10" s="7"/>
      <c r="L10" s="7"/>
      <c r="M10" s="7" t="s">
        <v>69</v>
      </c>
      <c r="Q10" s="9"/>
      <c r="S10" s="1">
        <v>35</v>
      </c>
      <c r="U10" s="1">
        <v>20202</v>
      </c>
      <c r="V10" s="1" t="s">
        <v>50</v>
      </c>
      <c r="Z10" s="1">
        <v>1</v>
      </c>
    </row>
    <row r="11" spans="1:28" x14ac:dyDescent="0.15">
      <c r="A11" s="5">
        <v>13033</v>
      </c>
      <c r="B11" s="6" t="s">
        <v>416</v>
      </c>
      <c r="C11" s="1">
        <v>3</v>
      </c>
      <c r="E11" s="7"/>
      <c r="F11" s="7"/>
      <c r="G11" s="7" t="s">
        <v>417</v>
      </c>
      <c r="H11" s="7"/>
      <c r="I11" s="7"/>
      <c r="J11" s="7"/>
      <c r="K11" s="7" t="s">
        <v>266</v>
      </c>
      <c r="L11" s="7"/>
      <c r="M11" s="7"/>
      <c r="P11" s="1" t="s">
        <v>224</v>
      </c>
      <c r="Q11" s="9"/>
      <c r="S11" s="1">
        <v>20</v>
      </c>
      <c r="U11" s="1">
        <v>20202</v>
      </c>
      <c r="V11" s="1" t="s">
        <v>50</v>
      </c>
      <c r="Z11" s="1">
        <v>1</v>
      </c>
    </row>
    <row r="12" spans="1:28" x14ac:dyDescent="0.15">
      <c r="A12" s="5">
        <v>13047</v>
      </c>
      <c r="B12" s="5" t="s">
        <v>457</v>
      </c>
      <c r="C12" s="1">
        <v>3</v>
      </c>
      <c r="E12" s="7"/>
      <c r="F12" s="7"/>
      <c r="G12" s="1" t="s">
        <v>426</v>
      </c>
      <c r="H12" s="7"/>
      <c r="I12" s="7" t="s">
        <v>458</v>
      </c>
      <c r="J12" s="7"/>
      <c r="K12" s="7"/>
      <c r="L12" s="7"/>
      <c r="M12" s="7"/>
      <c r="P12" s="1" t="s">
        <v>459</v>
      </c>
      <c r="Q12" s="9"/>
      <c r="S12" s="1">
        <v>15</v>
      </c>
      <c r="U12" s="1">
        <v>20202</v>
      </c>
      <c r="V12" s="1" t="s">
        <v>50</v>
      </c>
      <c r="Z12" s="1">
        <v>1</v>
      </c>
    </row>
    <row r="13" spans="1:28" x14ac:dyDescent="0.15">
      <c r="A13" s="5">
        <v>13048</v>
      </c>
      <c r="B13" s="5" t="s">
        <v>460</v>
      </c>
      <c r="C13" s="1">
        <v>3</v>
      </c>
      <c r="E13" s="7" t="s">
        <v>336</v>
      </c>
      <c r="F13" s="7"/>
      <c r="G13" s="7" t="s">
        <v>461</v>
      </c>
      <c r="H13" s="7"/>
      <c r="I13" s="7"/>
      <c r="J13" s="7"/>
      <c r="K13" s="7" t="s">
        <v>462</v>
      </c>
      <c r="L13" s="7"/>
      <c r="M13" s="7" t="s">
        <v>69</v>
      </c>
      <c r="P13" s="1" t="s">
        <v>463</v>
      </c>
      <c r="Q13" s="9"/>
      <c r="S13" s="1">
        <v>44</v>
      </c>
      <c r="U13" s="1">
        <v>20202</v>
      </c>
      <c r="V13" s="1" t="s">
        <v>50</v>
      </c>
      <c r="Z13" s="1">
        <v>1</v>
      </c>
    </row>
    <row r="14" spans="1:28" x14ac:dyDescent="0.15">
      <c r="A14" s="5">
        <v>13052</v>
      </c>
      <c r="B14" s="5" t="s">
        <v>470</v>
      </c>
      <c r="C14" s="1">
        <v>3</v>
      </c>
      <c r="E14" s="7" t="s">
        <v>74</v>
      </c>
      <c r="F14" s="7"/>
      <c r="G14" s="7" t="s">
        <v>471</v>
      </c>
      <c r="H14" s="7"/>
      <c r="I14" s="7"/>
      <c r="J14" s="7"/>
      <c r="K14" s="7"/>
      <c r="L14" s="7"/>
      <c r="M14" s="7"/>
      <c r="Q14" s="9"/>
      <c r="S14" s="1">
        <v>35</v>
      </c>
      <c r="U14" s="1">
        <v>20202</v>
      </c>
      <c r="V14" s="1" t="s">
        <v>50</v>
      </c>
      <c r="Z14" s="1">
        <v>1</v>
      </c>
    </row>
    <row r="15" spans="1:28" x14ac:dyDescent="0.15">
      <c r="A15" s="5">
        <v>13055</v>
      </c>
      <c r="B15" s="5" t="s">
        <v>477</v>
      </c>
      <c r="C15" s="1">
        <v>3</v>
      </c>
      <c r="E15" s="7" t="s">
        <v>478</v>
      </c>
      <c r="F15" s="7"/>
      <c r="G15" s="7" t="s">
        <v>479</v>
      </c>
      <c r="H15" s="7"/>
      <c r="I15" s="7"/>
      <c r="J15" s="7"/>
      <c r="K15" s="7" t="s">
        <v>480</v>
      </c>
      <c r="L15" s="7"/>
      <c r="M15" s="7"/>
      <c r="Q15" s="9"/>
      <c r="S15" s="1">
        <v>50</v>
      </c>
      <c r="U15" s="1">
        <v>20202</v>
      </c>
      <c r="V15" s="1" t="s">
        <v>50</v>
      </c>
      <c r="Z15" s="1">
        <v>1</v>
      </c>
    </row>
    <row r="27" spans="2:3" x14ac:dyDescent="0.15">
      <c r="B27" s="1" t="s">
        <v>371</v>
      </c>
      <c r="C27" s="1" cm="1">
        <f t="array" ref="C27">SUMPRODUCT(LEN(P:P)-LEN(SUBSTITUTE(P:P,"↑","")))</f>
        <v>5</v>
      </c>
    </row>
    <row r="28" spans="2:3" x14ac:dyDescent="0.15">
      <c r="B28" s="1" t="s">
        <v>144</v>
      </c>
      <c r="C28" s="1" cm="1">
        <f t="array" ref="C28">SUMPRODUCT(LEN(P:P)-LEN(SUBSTITUTE(P:P,"↓","")))</f>
        <v>6</v>
      </c>
    </row>
    <row r="29" spans="2:3" x14ac:dyDescent="0.15">
      <c r="B29" s="1" t="s">
        <v>86</v>
      </c>
      <c r="C29" s="1" cm="1">
        <f t="array" ref="C29">SUMPRODUCT(LEN(P:P)-LEN(SUBSTITUTE(P:P,"←","")))</f>
        <v>5</v>
      </c>
    </row>
    <row r="30" spans="2:3" x14ac:dyDescent="0.15">
      <c r="B30" s="1" t="s">
        <v>306</v>
      </c>
      <c r="C30" s="1" cm="1">
        <f t="array" ref="C30">SUMPRODUCT(LEN(P:P)-LEN(SUBSTITUTE(P:P,"→","")))</f>
        <v>11</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2025-09-27T03:15:11Z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2052-12.1.0.22215</vt:lpwstr>
  </property>
</Properties>
</file>